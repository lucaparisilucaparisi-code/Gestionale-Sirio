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epilogo" sheetId="1" r:id="rId1"/>
    <sheet name="Dettaglio giornaliero" sheetId="2" r:id="rId2"/>
    <sheet name="DE LUCA G. 03-2026" sheetId="3" r:id="rId3"/>
    <sheet name="ESPOSITO A. 02-2026" sheetId="4" r:id="rId4"/>
    <sheet name="ROSSI M. 02-2026" sheetId="5" r:id="rId5"/>
    <sheet name="ROSSI M. 03-2026" sheetId="6" r:id="rId6"/>
    <sheet name="Anomalie" sheetId="7" r:id="rId7"/>
    <sheet name="Totali per operatore" sheetId="8" r:id="rId8"/>
    <sheet name="Legenda e note" sheetId="9" r:id="rId9"/>
  </sheets>
  <definedNames>
    <definedName name="_xlnm._FilterDatabase" localSheetId="6" hidden="1">Anomalie!$A$5:$M$25</definedName>
    <definedName name="_xlnm._FilterDatabase" localSheetId="1" hidden="1">'Dettaglio giornaliero'!$A$5:$W$86</definedName>
    <definedName name="_xlnm.Print_Titles" localSheetId="6">Anomalie!$5:$5</definedName>
    <definedName name="_xlnm.Print_Titles" localSheetId="2">'DE LUCA G. 03-2026'!$12:$13</definedName>
    <definedName name="_xlnm.Print_Titles" localSheetId="1">'Dettaglio giornaliero'!$5:$5</definedName>
    <definedName name="_xlnm.Print_Titles" localSheetId="3">'ESPOSITO A. 02-2026'!$12:$13</definedName>
    <definedName name="_xlnm.Print_Titles" localSheetId="0">Riepilogo!$11:$11</definedName>
    <definedName name="_xlnm.Print_Titles" localSheetId="4">'ROSSI M. 02-2026'!$12:$13</definedName>
    <definedName name="_xlnm.Print_Titles" localSheetId="5">'ROSSI M. 03-2026'!$12:$13</definedName>
  </definedNames>
  <calcPr calcId="124519" fullCalcOnLoad="1"/>
</workbook>
</file>

<file path=xl/comments1.xml><?xml version="1.0" encoding="utf-8"?>
<comments xmlns="http://schemas.openxmlformats.org/spreadsheetml/2006/main">
  <authors>
    <author>Sirio OCR</author>
  </authors>
  <commentList>
    <comment ref="F12" authorId="0">
      <text>
        <r>
          <rPr>
            <sz val="9"/>
            <color indexed="81"/>
            <rFont val="Calibri"/>
            <family val="2"/>
          </rPr>
          <t>Lettura incerta: verificare sull'originale.</t>
        </r>
      </text>
    </comment>
    <comment ref="C14" authorId="0">
      <text>
        <r>
          <rPr>
            <sz val="9"/>
            <color indexed="81"/>
            <rFont val="Calibri"/>
            <family val="2"/>
          </rPr>
          <t>Lettura incerta: verificare sull'originale.</t>
        </r>
      </text>
    </comment>
  </commentList>
</comments>
</file>

<file path=xl/comments2.xml><?xml version="1.0" encoding="utf-8"?>
<comments xmlns="http://schemas.openxmlformats.org/spreadsheetml/2006/main">
  <authors>
    <author>Sirio OCR</author>
  </authors>
  <commentList>
    <comment ref="K31" authorId="0">
      <text>
        <r>
          <rPr>
            <sz val="9"/>
            <color indexed="81"/>
            <rFont val="Calibri"/>
            <family val="2"/>
          </rPr>
          <t>Corretto manualmente – valore OCR originale: 11:30</t>
        </r>
      </text>
    </comment>
    <comment ref="L53" authorId="0">
      <text>
        <r>
          <rPr>
            <sz val="9"/>
            <color indexed="81"/>
            <rFont val="Calibri"/>
            <family val="2"/>
          </rPr>
          <t>«Uscita effettiva»: campo scritto ma illeggibile. Leggere il valore sulla scansione originale e inserirlo a mano.</t>
        </r>
      </text>
    </comment>
    <comment ref="O57" authorId="0">
      <text>
        <r>
          <rPr>
            <sz val="9"/>
            <color indexed="81"/>
            <rFont val="Calibri"/>
            <family val="2"/>
          </rPr>
          <t>Lettura incerta: verificare sull'originale.
Affidabilità della lettura: 55%.</t>
        </r>
      </text>
    </comment>
    <comment ref="J80" authorId="0">
      <text>
        <r>
          <rPr>
            <sz val="9"/>
            <color indexed="81"/>
            <rFont val="Calibri"/>
            <family val="2"/>
          </rPr>
          <t>Lettura incerta: verificare sull'originale.
Affidabilità della lettura: 60%.</t>
        </r>
      </text>
    </comment>
  </commentList>
</comments>
</file>

<file path=xl/comments3.xml><?xml version="1.0" encoding="utf-8"?>
<comments xmlns="http://schemas.openxmlformats.org/spreadsheetml/2006/main">
  <authors>
    <author>Sirio OCR</author>
  </authors>
  <commentList>
    <comment ref="L6" authorId="0">
      <text>
        <r>
          <rPr>
            <sz val="9"/>
            <color indexed="81"/>
            <rFont val="Calibri"/>
            <family val="2"/>
          </rPr>
          <t>Lettura incerta: verificare sull'originale.</t>
        </r>
      </text>
    </comment>
  </commentList>
</comments>
</file>

<file path=xl/comments4.xml><?xml version="1.0" encoding="utf-8"?>
<comments xmlns="http://schemas.openxmlformats.org/spreadsheetml/2006/main">
  <authors>
    <author>Sirio OCR</author>
  </authors>
  <commentList>
    <comment ref="F18" authorId="0">
      <text>
        <r>
          <rPr>
            <sz val="9"/>
            <color indexed="81"/>
            <rFont val="Calibri"/>
            <family val="2"/>
          </rPr>
          <t>Corretto manualmente – valore OCR originale: 11:30</t>
        </r>
      </text>
    </comment>
  </commentList>
</comments>
</file>

<file path=xl/comments5.xml><?xml version="1.0" encoding="utf-8"?>
<comments xmlns="http://schemas.openxmlformats.org/spreadsheetml/2006/main">
  <authors>
    <author>Sirio OCR</author>
  </authors>
  <commentList>
    <comment ref="D8" authorId="0">
      <text>
        <r>
          <rPr>
            <sz val="9"/>
            <color indexed="81"/>
            <rFont val="Calibri"/>
            <family val="2"/>
          </rPr>
          <t>Lettura incerta: verificare sull'originale.</t>
        </r>
      </text>
    </comment>
    <comment ref="G25" authorId="0">
      <text>
        <r>
          <rPr>
            <sz val="9"/>
            <color indexed="81"/>
            <rFont val="Calibri"/>
            <family val="2"/>
          </rPr>
          <t>«Uscita effettiva»: campo scritto ma illeggibile. Leggere il valore sulla scansione originale e inserirlo a mano.</t>
        </r>
      </text>
    </comment>
    <comment ref="H31" authorId="0">
      <text>
        <r>
          <rPr>
            <sz val="9"/>
            <color indexed="81"/>
            <rFont val="Calibri"/>
            <family val="2"/>
          </rPr>
          <t>Lettura incerta: verificare sull'originale.
Affidabilità della lettura: 55%.</t>
        </r>
      </text>
    </comment>
  </commentList>
</comments>
</file>

<file path=xl/comments6.xml><?xml version="1.0" encoding="utf-8"?>
<comments xmlns="http://schemas.openxmlformats.org/spreadsheetml/2006/main">
  <authors>
    <author>Sirio OCR</author>
  </authors>
  <commentList>
    <comment ref="E36" authorId="0">
      <text>
        <r>
          <rPr>
            <sz val="9"/>
            <color indexed="81"/>
            <rFont val="Calibri"/>
            <family val="2"/>
          </rPr>
          <t>Lettura incerta: verificare sull'originale.
Affidabilità della lettura: 60%.</t>
        </r>
      </text>
    </comment>
  </commentList>
</comments>
</file>

<file path=xl/sharedStrings.xml><?xml version="1.0" encoding="utf-8"?>
<sst xmlns="http://schemas.openxmlformats.org/spreadsheetml/2006/main" count="1889" uniqueCount="406">
  <si>
    <t>COMUNE DI NAPOLI  ·  Assistenza Specialistica</t>
  </si>
  <si>
    <t>Foglio 1 di 4</t>
  </si>
  <si>
    <t>Foglio firma mensile  ·  Assistenza Specialistica all'integrazione scolastica destinato agli alunni disabili  ·  Anno scolastico 2025/2026</t>
  </si>
  <si>
    <t>‹ Torna al Riepilogo</t>
  </si>
  <si>
    <t>Ente</t>
  </si>
  <si>
    <t>COOPERATIVA SOCIALE SIRIO</t>
  </si>
  <si>
    <t>Mese/anno di riferimento</t>
  </si>
  <si>
    <t>Istituto scolastico</t>
  </si>
  <si>
    <t>IC 12 VITTORIO EMANUELE</t>
  </si>
  <si>
    <t>Ore da PEI (settimanali)</t>
  </si>
  <si>
    <t>Operatore</t>
  </si>
  <si>
    <t>DE LUCA GIOVANNA</t>
  </si>
  <si>
    <t>Sostituzione</t>
  </si>
  <si>
    <t>Sì</t>
  </si>
  <si>
    <t>Alunno</t>
  </si>
  <si>
    <t>NERI MATTEO</t>
  </si>
  <si>
    <t>Data di compilazione</t>
  </si>
  <si>
    <t>Lotto</t>
  </si>
  <si>
    <t>Firma coordinatore ente</t>
  </si>
  <si>
    <t>Presente</t>
  </si>
  <si>
    <t>Municipalità</t>
  </si>
  <si>
    <t>Timbro referente scolastico</t>
  </si>
  <si>
    <t>Assente</t>
  </si>
  <si>
    <t>STATO DEL DOCUMENTO</t>
  </si>
  <si>
    <t>DA VERIFICARE</t>
  </si>
  <si>
    <t>0 errori · 4 attenzioni · 3 informazioni</t>
  </si>
  <si>
    <t>0 campi illeggibili · 1 lettura incerta · 0 correzioni manuali</t>
  </si>
  <si>
    <t>Non ancora confermato in revisione</t>
  </si>
  <si>
    <t>Calcoli e controlli di Sirio OCR</t>
  </si>
  <si>
    <t>Giorno</t>
  </si>
  <si>
    <t>Data</t>
  </si>
  <si>
    <t>Gg.</t>
  </si>
  <si>
    <t>Tot. ore effettive</t>
  </si>
  <si>
    <t>Assenza alunno</t>
  </si>
  <si>
    <t>Assenza operatore</t>
  </si>
  <si>
    <t>Firma operatore</t>
  </si>
  <si>
    <t>Note</t>
  </si>
  <si>
    <t>Orario programmato</t>
  </si>
  <si>
    <t>Orario effettivo</t>
  </si>
  <si>
    <t>Entrata</t>
  </si>
  <si>
    <t>Uscita</t>
  </si>
  <si>
    <t>Ore programmate</t>
  </si>
  <si>
    <t>Ore calcolate</t>
  </si>
  <si>
    <t>Ore riconosciute</t>
  </si>
  <si>
    <t>Differenza dich. − calc.</t>
  </si>
  <si>
    <t>Esito dei controlli</t>
  </si>
  <si>
    <t>dom</t>
  </si>
  <si>
    <t>Domenica</t>
  </si>
  <si>
    <t>lun</t>
  </si>
  <si>
    <t>OK</t>
  </si>
  <si>
    <t>mar</t>
  </si>
  <si>
    <t>mer</t>
  </si>
  <si>
    <t>gio</t>
  </si>
  <si>
    <t>ven</t>
  </si>
  <si>
    <t>sab</t>
  </si>
  <si>
    <t>Sabato</t>
  </si>
  <si>
    <t>RECUPERO</t>
  </si>
  <si>
    <t>Totale ore effettive mensili (somma dei giorni)</t>
  </si>
  <si>
    <t>Confronto con il totale mensile dichiarato</t>
  </si>
  <si>
    <t>Ore settimanali rispetto alle ore da PEI</t>
  </si>
  <si>
    <t>Totale ore effettive mensili dichiarato sul foglio</t>
  </si>
  <si>
    <t>Somma delle ore giornaliere (colonna «Tot. ore effettive»)</t>
  </si>
  <si>
    <t>Differenza (somma dei giorni − totale dichiarato)</t>
  </si>
  <si>
    <t>Esito del confronto</t>
  </si>
  <si>
    <t>Ore calcolate dagli orari effettivi</t>
  </si>
  <si>
    <t>Giorni lavorati (con ore riconosciute)</t>
  </si>
  <si>
    <t>Assenze alunno</t>
  </si>
  <si>
    <t>Assenze operatore</t>
  </si>
  <si>
    <t>Settimana</t>
  </si>
  <si>
    <t>Ore PEI attese</t>
  </si>
  <si>
    <t>Limite PEI settimanale</t>
  </si>
  <si>
    <t>Differenza ore − attese</t>
  </si>
  <si>
    <t>Esito</t>
  </si>
  <si>
    <t>1ª · 01/03</t>
  </si>
  <si>
    <t>2ª · 02/03 – 08/03</t>
  </si>
  <si>
    <t>3ª · 09/03 – 15/03</t>
  </si>
  <si>
    <t>4ª · 16/03 – 22/03</t>
  </si>
  <si>
    <t>5ª · 23/03 – 29/03</t>
  </si>
  <si>
    <t>6ª · 30/03 – 31/03</t>
  </si>
  <si>
    <t>Totale mese</t>
  </si>
  <si>
    <t>Ore PEI attese: limite settimanale proporzionato ai giorni scolastici della settimana compresi nel mese.</t>
  </si>
  <si>
    <t>Anomalie e segnalazioni (7)</t>
  </si>
  <si>
    <t>Gravità</t>
  </si>
  <si>
    <t>Controllo</t>
  </si>
  <si>
    <t>Descrizione</t>
  </si>
  <si>
    <t>Attenzione</t>
  </si>
  <si>
    <t>W04 · Lettura incerta</t>
  </si>
  <si>
    <t>Lettura incerta del campo «Ore da PEI» (valore letto: 10); verificare sulla scansione.</t>
  </si>
  <si>
    <t>W09 · Timbro referente mancante</t>
  </si>
  <si>
    <t>Mancano il timbro e la firma del referente scolastico in calce al foglio.</t>
  </si>
  <si>
    <t>W06 · Ore PEI superate</t>
  </si>
  <si>
    <t>Settimana 3 (dal 9 all 15 marzo): 12 ore, oltre il limite settimanale del PEI (10 ore; eccedenza 2 ore).</t>
  </si>
  <si>
    <t>Settimana 4 (dal 16 all 22 marzo): 10,25 ore, oltre il limite settimanale del PEI (10 ore; eccedenza 0,25 ore).</t>
  </si>
  <si>
    <t>Info</t>
  </si>
  <si>
    <t>14</t>
  </si>
  <si>
    <t>W03 · Prestazione in giorno non lavorativo</t>
  </si>
  <si>
    <t>Giorno 14 (sabato): prestazione registrata di sabato; verificare che sia prevista dal calendario scolastico.</t>
  </si>
  <si>
    <t>I04 · Orario senza programmato</t>
  </si>
  <si>
    <t>Giorno 14: orario effettivo 09:00–11:00 senza orario programmato.</t>
  </si>
  <si>
    <t>20</t>
  </si>
  <si>
    <t>I03 · Orario diverso dal programmato</t>
  </si>
  <si>
    <t>Giorno 20: orario effettivo 09:00–11:15 diverso dal programmato 09:00–11:00.</t>
  </si>
  <si>
    <t>Fonte: de_luca_marzo.pdf · Lettura: Claude Vision (Anthropic) – modello claude-sonnet-5-5 · affidabilità complessiva 89% · ultimo aggiornamento 02/04/2026 07:42 · rif. documento d4e5f6a1b2c3</t>
  </si>
  <si>
    <t>Celle evidenziate: rosso = illeggibile · ambra = lettura incerta · blu = corretto a mano · grigio = sabato, domenica o festivo. Passare con il mouse sulla cella per il dettaglio.</t>
  </si>
  <si>
    <t>Foglio 2 di 4</t>
  </si>
  <si>
    <t>IC 47 SARRIA-MONTI</t>
  </si>
  <si>
    <t>ESPOSITO ANNA</t>
  </si>
  <si>
    <t>No</t>
  </si>
  <si>
    <t>VERDI SOFIA</t>
  </si>
  <si>
    <t>0 errori · 0 attenzioni · 1 informazione</t>
  </si>
  <si>
    <t>0 campi illeggibili · 0 letture incerte · 1 correzione manuale</t>
  </si>
  <si>
    <t>Confermato in revisione</t>
  </si>
  <si>
    <t>X</t>
  </si>
  <si>
    <t>104</t>
  </si>
  <si>
    <t>Giorno inesistente nel mese</t>
  </si>
  <si>
    <t>1ª · 01/02</t>
  </si>
  <si>
    <t>2ª · 02/02 – 08/02</t>
  </si>
  <si>
    <t>3ª · 09/02 – 15/02</t>
  </si>
  <si>
    <t>4ª · 16/02 – 22/02</t>
  </si>
  <si>
    <t>5ª · 23/02 – 28/02</t>
  </si>
  <si>
    <t>Anomalie e segnalazioni (1)</t>
  </si>
  <si>
    <t>10</t>
  </si>
  <si>
    <t>I02 · Assenza operatore</t>
  </si>
  <si>
    <t>Giorno 10: assenza dell'operatore – nota «104» (permesso Legge 104/1992); 3 ore programmate non svolte.</t>
  </si>
  <si>
    <t>Fonte: fogli_firma_febbraio.pdf, pagina 2 di 2 · Lettura: Claude Vision (Anthropic) – modello claude-opus-5-5 · affidabilità complessiva 97% · ultimo aggiornamento 02/04/2026 07:42 · rif. documento b2c3d4e5f6a1</t>
  </si>
  <si>
    <t>Foglio 3 di 4</t>
  </si>
  <si>
    <t>ROSSI MARIO</t>
  </si>
  <si>
    <t>BIANCHI LUCA</t>
  </si>
  <si>
    <t>ERRORI</t>
  </si>
  <si>
    <t>1 errore · 2 attenzioni · 3 informazioni</t>
  </si>
  <si>
    <t>1 campo illeggibile · 2 letture incerte · 0 correzioni manuali</t>
  </si>
  <si>
    <t>–</t>
  </si>
  <si>
    <t>ILLEGGIBILE</t>
  </si>
  <si>
    <t>Errore – illeggibile: uscita effettiva</t>
  </si>
  <si>
    <t>PONTE DI CARNEVALE</t>
  </si>
  <si>
    <t>Non svolto</t>
  </si>
  <si>
    <t>Da verificare – lettura incerta: tot. ore effettive</t>
  </si>
  <si>
    <t>Anomalie e segnalazioni (6)</t>
  </si>
  <si>
    <t>Lettura incerta del campo «Alunno» (valore letto: BIANCHI LUCA); verificare sulla scansione.</t>
  </si>
  <si>
    <t>4</t>
  </si>
  <si>
    <t>I01 · Assenza alunno</t>
  </si>
  <si>
    <t>Giorno 4: assenza dell'alunno; riconosciute 1,5 ore su 3 programmate (50%).</t>
  </si>
  <si>
    <t>Errore</t>
  </si>
  <si>
    <t>12</t>
  </si>
  <si>
    <t>E05 · Campo illeggibile</t>
  </si>
  <si>
    <t>Giorno 12: campo «Uscita effettiva» illeggibile: da leggere sulla scansione e inserire a mano.</t>
  </si>
  <si>
    <t>16</t>
  </si>
  <si>
    <t>I05 · Prestazione non svolta</t>
  </si>
  <si>
    <t>Giorno 16: prestazione programmata non svolta (orario programmato 08:00–11:00) – nota «PONTE DI CARNEVALE».</t>
  </si>
  <si>
    <t>17</t>
  </si>
  <si>
    <t>Giorno 17: prestazione programmata non svolta (orario programmato 08:00–11:00) – nota «PONTE DI CARNEVALE».</t>
  </si>
  <si>
    <t>18</t>
  </si>
  <si>
    <t>Giorno 18: lettura incerta del campo «Tot. ore effettive» (valore letto: 3); verificare sulla scansione.</t>
  </si>
  <si>
    <t>Fonte: fogli_firma_febbraio.pdf, pagina 1 di 2 · Lettura: Claude Vision (Anthropic) – modello claude-opus-5-5 · affidabilità complessiva 91% · ultimo aggiornamento 02/04/2026 07:42 · rif. documento a1b2c3d4e5f6</t>
  </si>
  <si>
    <t>Foglio 4 di 4</t>
  </si>
  <si>
    <t>2 errori · 2 attenzioni · 2 informazioni</t>
  </si>
  <si>
    <t>Errore – ore non coerenti con l'orario</t>
  </si>
  <si>
    <t>Da verificare – lettura incerta: uscita programmata</t>
  </si>
  <si>
    <t>Da verificare – firma operatore mancante</t>
  </si>
  <si>
    <t>E02 · Totale mensile diverso dalla somma</t>
  </si>
  <si>
    <t>Totale mensile dichiarato 64 ore, somma dei giorni 64,5 ore (differenza 0,5).</t>
  </si>
  <si>
    <t>11</t>
  </si>
  <si>
    <t>E01 · Ore non coerenti con l'orario</t>
  </si>
  <si>
    <t>Giorno 11: dichiarate 3 ore ma l'orario effettivo 08:00–10:30 corrisponde a 2,5 ore.</t>
  </si>
  <si>
    <t>Giorno 11: orario effettivo 08:00–10:30 diverso dal programmato 08:00–11:00.</t>
  </si>
  <si>
    <t>19</t>
  </si>
  <si>
    <t>Giorno 19: assenza dell'alunno; riconosciute 1,5 ore su 3 programmate (50%).</t>
  </si>
  <si>
    <t>23</t>
  </si>
  <si>
    <t>Giorno 23: lettura incerta del campo «Uscita programmata» (valore letto: 11:00); verificare sulla scansione.</t>
  </si>
  <si>
    <t>25</t>
  </si>
  <si>
    <t>W01 · Firma operatore mancante</t>
  </si>
  <si>
    <t>Giorno 25: manca la firma dell'operatore (orario 08:00–11:00, 3 ore dichiarate).</t>
  </si>
  <si>
    <t>Fonte: rossi_marzo.pdf · Lettura: Claude Vision (Anthropic) – modello claude-opus-5-5 · affidabilità complessiva 93% · ultimo aggiornamento 02/04/2026 07:42 · rif. documento c3d4e5f6a1b2</t>
  </si>
  <si>
    <t>Dettaglio giornaliero</t>
  </si>
  <si>
    <t>Febbraio – Marzo 2026 · una riga per ogni giornata con dati · ore in formato decimale (1,50 = un'ora e mezza)</t>
  </si>
  <si>
    <t>Totale delle righe visibili</t>
  </si>
  <si>
    <t>Doc.</t>
  </si>
  <si>
    <t>Istituto</t>
  </si>
  <si>
    <t>Mese</t>
  </si>
  <si>
    <t>Tipo giorno</t>
  </si>
  <si>
    <t>Entrata progr.</t>
  </si>
  <si>
    <t>Uscita progr.</t>
  </si>
  <si>
    <t>Entrata eff.</t>
  </si>
  <si>
    <t>Uscita eff.</t>
  </si>
  <si>
    <t>Ore progr.</t>
  </si>
  <si>
    <t>Ore dichiarate</t>
  </si>
  <si>
    <t>Differenza</t>
  </si>
  <si>
    <t>Firma</t>
  </si>
  <si>
    <t>Anomalie del giorno</t>
  </si>
  <si>
    <t>1</t>
  </si>
  <si>
    <t>Feriale</t>
  </si>
  <si>
    <t>Prestazione registrata di sabato; verificare che sia prevista dal calendario scolastico. • Orario effettivo 09:00–11:00 senza orario programmato.</t>
  </si>
  <si>
    <t>Orario effettivo 09:00–11:15 diverso dal programmato 09:00–11:00.</t>
  </si>
  <si>
    <t>2</t>
  </si>
  <si>
    <t>Assenza dell'operatore – nota «104» (permesso Legge 104/1992); 3 ore programmate non svolte.</t>
  </si>
  <si>
    <t>3</t>
  </si>
  <si>
    <t>Assenza dell'alunno; riconosciute 1,5 ore su 3 programmate (50%).</t>
  </si>
  <si>
    <t>Campo «Uscita effettiva» illeggibile: da leggere sulla scansione e inserire a mano.</t>
  </si>
  <si>
    <t>Prestazione programmata non svolta (orario programmato 08:00–11:00) – nota «PONTE DI CARNEVALE».</t>
  </si>
  <si>
    <t>Lettura incerta del campo «Tot. ore effettive» (valore letto: 3); verificare sulla scansione.</t>
  </si>
  <si>
    <t>Dichiarate 3 ore ma l'orario effettivo 08:00–10:30 corrisponde a 2,5 ore. • Orario effettivo 08:00–10:30 diverso dal programmato 08:00–11:00.</t>
  </si>
  <si>
    <t>Lettura incerta del campo «Uscita programmata» (valore letto: 11:00); verificare sulla scansione.</t>
  </si>
  <si>
    <t>Manca la firma dell'operatore (orario 08:00–11:00, 3 ore dichiarate).</t>
  </si>
  <si>
    <t>Rendicontazione Assistenza Specialistica</t>
  </si>
  <si>
    <t>Comune di Napoli · Assistenza Specialistica all'integrazione scolastica · Febbraio – Marzo 2026 · COOPERATIVA SOCIALE SIRIO</t>
  </si>
  <si>
    <t>Generato il 10/10/2026 alle 17:01 con Sirio OCR 1.0.0 · 4 fogli firma</t>
  </si>
  <si>
    <t>FOGLI FIRMA</t>
  </si>
  <si>
    <t>ORE RICONOSCIUTE</t>
  </si>
  <si>
    <t>ore effettive ammesse</t>
  </si>
  <si>
    <t>ORE PROGRAMMATE</t>
  </si>
  <si>
    <t>da orario programmato</t>
  </si>
  <si>
    <t>GIORNI LAVORATI</t>
  </si>
  <si>
    <t>giornate con ore riconosciute</t>
  </si>
  <si>
    <t>ASSENZE ALUNNO</t>
  </si>
  <si>
    <t>giornate</t>
  </si>
  <si>
    <t>ASSENZE OPERATORE</t>
  </si>
  <si>
    <t>CAMPI ILLEGGIBILI</t>
  </si>
  <si>
    <t>ANOMALIE DA ESAMINARE</t>
  </si>
  <si>
    <t>Da verificare sugli originali: 1 campo illeggibile e 4 letture incerte. Le celle sono evidenziate in rosso (illeggibile) e in ambra (incerto) nelle schede dei fogli firma e nel Dettaglio giornaliero; l'elenco completo è nel foglio Anomalie.</t>
  </si>
  <si>
    <t>N.</t>
  </si>
  <si>
    <t>Ore PEI sett.</t>
  </si>
  <si>
    <t>Totale mensile dichiarato</t>
  </si>
  <si>
    <t>Differenza totale</t>
  </si>
  <si>
    <t>Giorni lavorati</t>
  </si>
  <si>
    <t>Firme mancanti</t>
  </si>
  <si>
    <t>Campi incerti</t>
  </si>
  <si>
    <t>Campi illeggibili</t>
  </si>
  <si>
    <t>Errori</t>
  </si>
  <si>
    <t>Attenzioni</t>
  </si>
  <si>
    <t>Stato</t>
  </si>
  <si>
    <t>Verificato</t>
  </si>
  <si>
    <t>File di origine</t>
  </si>
  <si>
    <t>Da verificare</t>
  </si>
  <si>
    <t>de_luca_marzo.pdf</t>
  </si>
  <si>
    <t>fogli_firma_febbraio.pdf · pag. 2</t>
  </si>
  <si>
    <t>fogli_firma_febbraio.pdf · pag. 1</t>
  </si>
  <si>
    <t>rossi_marzo.pdf</t>
  </si>
  <si>
    <t>Totale</t>
  </si>
  <si>
    <t>Fare clic sul nome dell'operatore per aprire la scheda del foglio firma. Le colonne in blu sono calcolate con formule; i totali considerano solo le righe visibili quando si usano i filtri.</t>
  </si>
  <si>
    <t>Stato: «Errori» = almeno un controllo non superato; «Da verificare» = segnalazioni o campi incerti/illeggibili; «OK» = nessun rilievo. Il significato dei colori e le regole di calcolo sono nel foglio «Legenda e note».</t>
  </si>
  <si>
    <t>Anomalie e segnalazioni</t>
  </si>
  <si>
    <t>Febbraio – Marzo 2026 · 20 segnalazioni: 3 errori, 8 attenzioni, 9 informazioni</t>
  </si>
  <si>
    <t>Fare clic sul nome dell'operatore per aprire la scheda del foglio firma al giorno indicato. Usare i filtri dell'intestazione per selezionare gravità o codice (es. E05 = campi illeggibili).</t>
  </si>
  <si>
    <t>Codice</t>
  </si>
  <si>
    <t>Campo</t>
  </si>
  <si>
    <t>Valore letto</t>
  </si>
  <si>
    <t>Valore atteso</t>
  </si>
  <si>
    <t>W04_CAMPO_INCERTO</t>
  </si>
  <si>
    <t>Lettura incerta</t>
  </si>
  <si>
    <t>Ore da PEI</t>
  </si>
  <si>
    <t>W09_TIMBRO_REFERENTE_MANCANTE</t>
  </si>
  <si>
    <t>Timbro referente mancante</t>
  </si>
  <si>
    <t>Timbro e firma referente scolastico</t>
  </si>
  <si>
    <t>assente</t>
  </si>
  <si>
    <t>W06_ORE_PEI_SUPERATE</t>
  </si>
  <si>
    <t>Ore PEI superate</t>
  </si>
  <si>
    <t>W03_GIORNO_FESTIVO</t>
  </si>
  <si>
    <t>Prestazione in giorno non lavorativo</t>
  </si>
  <si>
    <t>I04_ORE_SENZA_PROGRAMMATO</t>
  </si>
  <si>
    <t>Orario senza programmato</t>
  </si>
  <si>
    <t>Entrata programmata</t>
  </si>
  <si>
    <t>09:00–11:00</t>
  </si>
  <si>
    <t>I03_ORARIO_DIVERSO</t>
  </si>
  <si>
    <t>Orario diverso dal programmato</t>
  </si>
  <si>
    <t>Uscita effettiva</t>
  </si>
  <si>
    <t>09:00–11:15</t>
  </si>
  <si>
    <t>I02_ASSENZA_OPERATORE</t>
  </si>
  <si>
    <t>I01_ASSENZA_ALUNNO</t>
  </si>
  <si>
    <t>E05_CAMPO_ILLEGGIBILE</t>
  </si>
  <si>
    <t>Campo illeggibile</t>
  </si>
  <si>
    <t>I05_NON_SVOLTO</t>
  </si>
  <si>
    <t>Prestazione non svolta</t>
  </si>
  <si>
    <t>Entrata effettiva</t>
  </si>
  <si>
    <t>E02_TOTALE_MENSILE_DIVERSO</t>
  </si>
  <si>
    <t>Totale mensile diverso dalla somma</t>
  </si>
  <si>
    <t>Totale ore effettive mensili</t>
  </si>
  <si>
    <t>E01_ORE_NON_COERENTI</t>
  </si>
  <si>
    <t>Ore non coerenti con l'orario</t>
  </si>
  <si>
    <t>08:00–10:30</t>
  </si>
  <si>
    <t>08:00–11:00</t>
  </si>
  <si>
    <t>Uscita programmata</t>
  </si>
  <si>
    <t>W01_FIRMA_MANCANTE</t>
  </si>
  <si>
    <t>Firma operatore mancante</t>
  </si>
  <si>
    <t>Totali per operatore, alunno e istituto</t>
  </si>
  <si>
    <t>Febbraio – Marzo 2026 · ore e giornate calcolate con formule (SOMMA.PIÙ.SE, CONTA.SE) sul foglio «Riepilogo»</t>
  </si>
  <si>
    <t>Ore per operatore</t>
  </si>
  <si>
    <t>Fogli</t>
  </si>
  <si>
    <t>Ore febbraio 2026</t>
  </si>
  <si>
    <t>Ore marzo 2026</t>
  </si>
  <si>
    <t>Totale ore riconosciute</t>
  </si>
  <si>
    <t>% ore su programmate</t>
  </si>
  <si>
    <t>Alunni seguiti</t>
  </si>
  <si>
    <t>Ore per alunno</t>
  </si>
  <si>
    <t>Operatori</t>
  </si>
  <si>
    <t>Ore per istituto</t>
  </si>
  <si>
    <t>Alunni</t>
  </si>
  <si>
    <t>BIANCHI LUCA, NERI MATTEO</t>
  </si>
  <si>
    <t>Le ore e le giornate sono sommate dalla tabella del foglio «Riepilogo», collegata alle schede dei fogli firma: correggendo un valore in una scheda questi totali si aggiornano automaticamente. % ore su programmate = ore riconosciute ÷ ore programmate.</t>
  </si>
  <si>
    <t>Legenda e note</t>
  </si>
  <si>
    <t>Rendicontazione Assistenza Specialistica · Febbraio – Marzo 2026 · Generato il 10/10/2026 alle 17:01</t>
  </si>
  <si>
    <t>Significato dei colori</t>
  </si>
  <si>
    <t>Campo illeggibile: scritto sul foglio ma non leggibile. Il valore va letto sulla scansione originale e inserito a mano; il commento della cella (triangolino rosso) spiega il problema. Se il campo incide sulle ore è segnalato come errore E05.</t>
  </si>
  <si>
    <t>Lettura incerta: il valore è stato letto ma va verificato sull'originale.</t>
  </si>
  <si>
    <t>Corretto manualmente durante la revisione: il commento riporta il valore letto originariamente dall'OCR.</t>
  </si>
  <si>
    <t>Sabato, domenica o giorno festivo (festività nazionali e San Gennaro, patrono di Napoli).</t>
  </si>
  <si>
    <t>Giorno inesistente nel mese di riferimento (es. 30 febbraio): escluso dai totali.</t>
  </si>
  <si>
    <t>Trattino scritto negli orari effettivi: prestazione non svolta in orario (ad es. per assenza dell'alunno).</t>
  </si>
  <si>
    <t>Stato OK: nessun rilievo sul foglio firma.</t>
  </si>
  <si>
    <t>Stato da verificare: segnalazioni di attenzione o campi incerti/illeggibili.</t>
  </si>
  <si>
    <t>Stato errori: almeno un controllo non superato (es. ore non coerenti, totale diverso).</t>
  </si>
  <si>
    <t>Intestazione</t>
  </si>
  <si>
    <t>Colonne che riportano i dati scritti sul modulo cartaceo.</t>
  </si>
  <si>
    <t>Colonne calcolate da Sirio OCR con formule Excel.</t>
  </si>
  <si>
    <t>Regole di calcolo</t>
  </si>
  <si>
    <t>•</t>
  </si>
  <si>
    <t>Ore programmate e ore calcolate = (uscita − entrata) × 24, dagli orari programmati ed effettivi; gli orari sono veri valori orari di Excel e le ore sono in formato decimale (1,50 = un'ora e mezza).</t>
  </si>
  <si>
    <t>Ore riconosciute = ore scritte nella colonna «Tot. ore effettive»; se non scritte, ore calcolate dall'orario effettivo; zero in caso di assenza dell'operatore. Con l'assenza dell'alunno sono ammesse ore parziali (es. 1,5 su 3).</t>
  </si>
  <si>
    <t>Differenza giornaliera = ore dichiarate − ore calcolate. Differenze oltre 0,01 ore sono segnalate come errore E01, salvo le ore parziali riconosciute per assenza dell'alunno.</t>
  </si>
  <si>
    <t>Differenza totale = somma delle ore giornaliere dichiarate − «Totale ore effettive mensili» scritto sul foglio (errore E02 se diversa da zero).</t>
  </si>
  <si>
    <t>Settimane da lunedì a domenica, troncate al mese. Le ore PEI attese di ogni settimana sono proporzionate ai giorni scolastici compresi (lunedì–venerdì non festivi, più il sabato se nel foglio risultano attività di sabato); il superamento del limite settimanale del PEI è segnalato con W06.</t>
  </si>
  <si>
    <t>Giorni lavorati = giornate con ore riconosciute maggiori di zero.</t>
  </si>
  <si>
    <t>Stato, esiti e anomalie riflettono i controlli eseguiti da Sirio OCR al momento della generazione del file.</t>
  </si>
  <si>
    <t>Le colonne calcolate e i totali sono formule: correggendo un valore nella scheda di un foglio firma si aggiornano i totali della scheda, il «Riepilogo» e i «Totali per operatore». Il «Dettaglio giornaliero» riporta invece i valori al momento della generazione del file: le correzioni vanno fatte nelle schede.</t>
  </si>
  <si>
    <t>Controlli eseguiti</t>
  </si>
  <si>
    <t>E01</t>
  </si>
  <si>
    <t>Le ore dichiarate non corrispondono alla differenza tra uscita ed entrata effettive.</t>
  </si>
  <si>
    <t>E02</t>
  </si>
  <si>
    <t>Il totale mensile dichiarato non corrisponde alla somma delle ore giornaliere.</t>
  </si>
  <si>
    <t>E03</t>
  </si>
  <si>
    <t>Orario non valido</t>
  </si>
  <si>
    <t>Orario non interpretabile o incompleto, oppure uscita non successiva all'entrata.</t>
  </si>
  <si>
    <t>E04</t>
  </si>
  <si>
    <t>Dati scritti in un giorno che non esiste nel mese di riferimento (es. 30 febbraio).</t>
  </si>
  <si>
    <t>E05</t>
  </si>
  <si>
    <t>Errore *</t>
  </si>
  <si>
    <t>Campo scritto ma non leggibile: errore se incide sulle ore (orari, ore, totale), altrimenti attenzione.</t>
  </si>
  <si>
    <t>E06</t>
  </si>
  <si>
    <t>Non è un foglio firma</t>
  </si>
  <si>
    <t>La pagina non è stata riconosciuta come foglio firma dell'Assistenza Specialistica.</t>
  </si>
  <si>
    <t>W01</t>
  </si>
  <si>
    <t>Ore o orari effettivi presenti senza la firma dell'operatore.</t>
  </si>
  <si>
    <t>W02</t>
  </si>
  <si>
    <t>Ore senza orario effettivo</t>
  </si>
  <si>
    <t>Ore dichiarate senza orario effettivo di entrata e uscita e senza assenza dell'alunno.</t>
  </si>
  <si>
    <t>W03</t>
  </si>
  <si>
    <t>Attenzione *</t>
  </si>
  <si>
    <t>Prestazione registrata di domenica o in un giorno festivo (attenzione) oppure di sabato (informazione).</t>
  </si>
  <si>
    <t>W04</t>
  </si>
  <si>
    <t>Valore letto con incertezza: verificarlo sulla scansione.</t>
  </si>
  <si>
    <t>W05</t>
  </si>
  <si>
    <t>Assenza operatore con ore</t>
  </si>
  <si>
    <t>Segnalata l'assenza dell'operatore ma sono presenti ore o orari effettivi.</t>
  </si>
  <si>
    <t>W06</t>
  </si>
  <si>
    <t>Le ore della settimana superano le ore settimanali previste dal PEI.</t>
  </si>
  <si>
    <t>W07</t>
  </si>
  <si>
    <t>Intestazione incompleta</t>
  </si>
  <si>
    <t>Manca (o non è valido) l'operatore, l'alunno, il mese o l'anno di riferimento.</t>
  </si>
  <si>
    <t>W08</t>
  </si>
  <si>
    <t>Firma coordinatore mancante</t>
  </si>
  <si>
    <t>Manca la firma del coordinatore dell'ente.</t>
  </si>
  <si>
    <t>W09</t>
  </si>
  <si>
    <t>Mancano il timbro e la firma del referente scolastico.</t>
  </si>
  <si>
    <t>W10</t>
  </si>
  <si>
    <t>Totale mensile assente</t>
  </si>
  <si>
    <t>Il totale delle ore effettive mensili non è scritto sul foglio.</t>
  </si>
  <si>
    <t>W11</t>
  </si>
  <si>
    <t>Doppia assenza</t>
  </si>
  <si>
    <t>Crocette in entrambe le colonne di assenza (alunno e operatore).</t>
  </si>
  <si>
    <t>W12</t>
  </si>
  <si>
    <t>Ore non indicate</t>
  </si>
  <si>
    <t>Orario effettivo presente ma ore effettive non scritte: le ore sono calcolate dall'orario.</t>
  </si>
  <si>
    <t>W13</t>
  </si>
  <si>
    <t>Possibile foglio duplicato</t>
  </si>
  <si>
    <t>Un altro foglio firma ha lo stesso operatore, alunno, mese e anno: verificare che non sia lo stesso foglio scansionato due volte (le ore sarebbero conteggiate due volte).</t>
  </si>
  <si>
    <t>I01</t>
  </si>
  <si>
    <t>Assenza dell'alunno, con le ore riconosciute e la percentuale sul programmato.</t>
  </si>
  <si>
    <t>I02</t>
  </si>
  <si>
    <t>Assenza dell'operatore (con l'eventuale nota, es. 104 = permesso Legge 104/1992).</t>
  </si>
  <si>
    <t>I03</t>
  </si>
  <si>
    <t>L'orario effettivo differisce da quello programmato.</t>
  </si>
  <si>
    <t>I04</t>
  </si>
  <si>
    <t>Orario effettivo presente senza orario programmato.</t>
  </si>
  <si>
    <t>I05</t>
  </si>
  <si>
    <t>Prestazione programmata non svolta (nessun orario effettivo, nessuna ora, nessuna assenza).</t>
  </si>
  <si>
    <t>* La gravità dipende dal caso, come indicato nella descrizione.</t>
  </si>
  <si>
    <t>Lettura OCR e generazione del file</t>
  </si>
  <si>
    <t>Claude Vision (Anthropic) – modello claude-opus-5-5</t>
  </si>
  <si>
    <t>3 fogli firma · affidabilità media 94%</t>
  </si>
  <si>
    <t>Claude Vision (Anthropic) – modello claude-sonnet-5-5</t>
  </si>
  <si>
    <t>1 foglio firma · affidabilità media 89%</t>
  </si>
  <si>
    <t>Data e ora di generazione</t>
  </si>
  <si>
    <t>10/10/2026 17:01</t>
  </si>
  <si>
    <t>Programma</t>
  </si>
  <si>
    <t>Sirio OCR 1.0.0</t>
  </si>
  <si>
    <t>Periodo di riferimento</t>
  </si>
  <si>
    <t>Febbraio – Marzo 2026</t>
  </si>
  <si>
    <t>Fogli firma inclusi</t>
  </si>
  <si>
    <t>Giorni senza dati nel dettaglio</t>
  </si>
  <si>
    <t>esclusi</t>
  </si>
  <si>
    <t>Documenti non inclusi (2)</t>
  </si>
  <si>
    <t>Pagina</t>
  </si>
  <si>
    <t>Motivo dell'esclusione</t>
  </si>
  <si>
    <t>lettera_trasmissione.pdf</t>
  </si>
  <si>
    <t>Scartato: la pagina non è un foglio firma</t>
  </si>
  <si>
    <t>scansione_aprile.pdf</t>
  </si>
  <si>
    <t>Elaborazione non riuscita: Connessione al servizio OCR non riuscita.</t>
  </si>
</sst>
</file>

<file path=xl/styles.xml><?xml version="1.0" encoding="utf-8"?>
<styleSheet xmlns="http://schemas.openxmlformats.org/spreadsheetml/2006/main">
  <numFmts count="8">
    <numFmt numFmtId="164" formatCode="#,##0"/>
    <numFmt numFmtId="165" formatCode="#,##0.00"/>
    <numFmt numFmtId="166" formatCode="[$-410]mmmm yyyy"/>
    <numFmt numFmtId="167" formatCode="+#,##0.00;-#,##0.00;0.00"/>
    <numFmt numFmtId="168" formatCode="[$-410]mmm yyyy"/>
    <numFmt numFmtId="169" formatCode="dd/mm/yyyy"/>
    <numFmt numFmtId="170" formatCode="hh:mm"/>
    <numFmt numFmtId="171" formatCode="0.0%"/>
  </numFmts>
  <fonts count="53">
    <font>
      <sz val="10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rgb="FFC7D2E8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8"/>
      <color rgb="FF6B7280"/>
      <name val="Calibri"/>
      <family val="2"/>
      <scheme val="minor"/>
    </font>
    <font>
      <b/>
      <sz val="20"/>
      <color rgb="FF14213D"/>
      <name val="Calibri"/>
      <family val="2"/>
      <scheme val="minor"/>
    </font>
    <font>
      <b/>
      <sz val="20"/>
      <color rgb="FFB91C1C"/>
      <name val="Calibri"/>
      <family val="2"/>
      <scheme val="minor"/>
    </font>
    <font>
      <sz val="8.5"/>
      <color rgb="FF6B7280"/>
      <name val="Calibri"/>
      <family val="2"/>
      <scheme val="minor"/>
    </font>
    <font>
      <b/>
      <sz val="10"/>
      <color rgb="FF991B1B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0"/>
      <color rgb="FF6B7280"/>
      <name val="Calibri"/>
      <family val="2"/>
      <scheme val="minor"/>
    </font>
    <font>
      <b/>
      <u/>
      <sz val="10"/>
      <color rgb="FF1D4ED8"/>
      <name val="Calibri"/>
      <family val="2"/>
      <scheme val="minor"/>
    </font>
    <font>
      <sz val="10"/>
      <color rgb="FF1F2937"/>
      <name val="Calibri"/>
      <family val="2"/>
      <scheme val="minor"/>
    </font>
    <font>
      <sz val="10"/>
      <color rgb="FF78350F"/>
      <name val="Calibri"/>
      <family val="2"/>
      <scheme val="minor"/>
    </font>
    <font>
      <sz val="10"/>
      <color rgb="FF1F2937"/>
      <name val="Calibri"/>
      <family val="2"/>
      <scheme val="minor"/>
    </font>
    <font>
      <b/>
      <sz val="10"/>
      <color rgb="FF1F2937"/>
      <name val="Calibri"/>
      <family val="2"/>
      <scheme val="minor"/>
    </font>
    <font>
      <sz val="9"/>
      <color rgb="FF6B7280"/>
      <name val="Calibri"/>
      <family val="2"/>
      <scheme val="minor"/>
    </font>
    <font>
      <i/>
      <sz val="9"/>
      <color rgb="FF6B7280"/>
      <name val="Calibri"/>
      <family val="2"/>
      <scheme val="minor"/>
    </font>
    <font>
      <sz val="10"/>
      <color rgb="FF6B7280"/>
      <name val="Calibri"/>
      <family val="2"/>
      <scheme val="minor"/>
    </font>
    <font>
      <u/>
      <sz val="10"/>
      <color rgb="FF1D4ED8"/>
      <name val="Calibri"/>
      <family val="2"/>
      <scheme val="minor"/>
    </font>
    <font>
      <b/>
      <sz val="10"/>
      <color rgb="FF14213D"/>
      <name val="Calibri"/>
      <family val="2"/>
      <scheme val="minor"/>
    </font>
    <font>
      <sz val="9"/>
      <color rgb="FF1F2937"/>
      <name val="Calibri"/>
      <family val="2"/>
      <scheme val="minor"/>
    </font>
    <font>
      <sz val="10"/>
      <color rgb="FF1D4ED8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8"/>
      <color rgb="FF991B1B"/>
      <name val="Calibri"/>
      <family val="2"/>
      <scheme val="minor"/>
    </font>
    <font>
      <b/>
      <sz val="10"/>
      <color rgb="FFB91C1C"/>
      <name val="Calibri"/>
      <family val="2"/>
      <scheme val="minor"/>
    </font>
    <font>
      <u/>
      <sz val="9"/>
      <color rgb="FF1D4ED8"/>
      <name val="Calibri"/>
      <family val="2"/>
      <scheme val="minor"/>
    </font>
    <font>
      <b/>
      <sz val="9"/>
      <color rgb="FF6B7280"/>
      <name val="Calibri"/>
      <family val="2"/>
      <scheme val="minor"/>
    </font>
    <font>
      <b/>
      <sz val="10"/>
      <color rgb="FF78350F"/>
      <name val="Calibri"/>
      <family val="2"/>
      <scheme val="minor"/>
    </font>
    <font>
      <b/>
      <sz val="18"/>
      <color rgb="FFB45309"/>
      <name val="Calibri"/>
      <family val="2"/>
      <scheme val="minor"/>
    </font>
    <font>
      <b/>
      <sz val="11"/>
      <color rgb="FF1F2937"/>
      <name val="Calibri"/>
      <family val="2"/>
      <scheme val="minor"/>
    </font>
    <font>
      <b/>
      <sz val="10"/>
      <color rgb="FF15803D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8"/>
      <color rgb="FF2563EB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9"/>
      <color rgb="FF15803D"/>
      <name val="Calibri"/>
      <family val="2"/>
      <scheme val="minor"/>
    </font>
    <font>
      <b/>
      <sz val="12"/>
      <color rgb="FF14213D"/>
      <name val="Calibri"/>
      <family val="2"/>
      <scheme val="minor"/>
    </font>
    <font>
      <b/>
      <sz val="9.5"/>
      <color rgb="FF6B7280"/>
      <name val="Calibri"/>
      <family val="2"/>
      <scheme val="minor"/>
    </font>
    <font>
      <b/>
      <sz val="12"/>
      <color rgb="FF1F2937"/>
      <name val="Calibri"/>
      <family val="2"/>
      <scheme val="minor"/>
    </font>
    <font>
      <b/>
      <sz val="11"/>
      <color rgb="FF14213D"/>
      <name val="Calibri"/>
      <family val="2"/>
      <scheme val="minor"/>
    </font>
    <font>
      <i/>
      <sz val="8.5"/>
      <color rgb="FF6B7280"/>
      <name val="Calibri"/>
      <family val="2"/>
      <scheme val="minor"/>
    </font>
    <font>
      <b/>
      <sz val="10"/>
      <color rgb="FFB45309"/>
      <name val="Calibri"/>
      <family val="2"/>
      <scheme val="minor"/>
    </font>
    <font>
      <b/>
      <sz val="10"/>
      <color rgb="FF1D4ED8"/>
      <name val="Calibri"/>
      <family val="2"/>
      <scheme val="minor"/>
    </font>
    <font>
      <b/>
      <sz val="18"/>
      <color rgb="FF15803D"/>
      <name val="Calibri"/>
      <family val="2"/>
      <scheme val="minor"/>
    </font>
    <font>
      <b/>
      <sz val="10"/>
      <color rgb="FF15803D"/>
      <name val="Calibri"/>
      <family val="2"/>
      <scheme val="minor"/>
    </font>
    <font>
      <sz val="9"/>
      <color rgb="FF1D4ED8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8"/>
      <color rgb="FFB91C1C"/>
      <name val="Calibri"/>
      <family val="2"/>
      <scheme val="minor"/>
    </font>
    <font>
      <b/>
      <sz val="11"/>
      <color rgb="FF78350F"/>
      <name val="Calibri"/>
      <family val="2"/>
      <scheme val="minor"/>
    </font>
    <font>
      <b/>
      <sz val="9"/>
      <color rgb="FFB91C1C"/>
      <name val="Calibri"/>
      <family val="2"/>
      <scheme val="minor"/>
    </font>
    <font>
      <b/>
      <sz val="9"/>
      <color rgb="FFB45309"/>
      <name val="Calibri"/>
      <family val="2"/>
      <scheme val="minor"/>
    </font>
    <font>
      <b/>
      <sz val="10"/>
      <color rgb="FF2563EB"/>
      <name val="Calibri"/>
      <family val="2"/>
      <scheme val="minor"/>
    </font>
    <font>
      <sz val="8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EEF0F4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CDFE5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medium">
        <color rgb="FF2563EB"/>
      </top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991B1B"/>
      </left>
      <right/>
      <top/>
      <bottom/>
      <diagonal/>
    </border>
    <border>
      <left style="thin">
        <color rgb="FF2E3B5B"/>
      </left>
      <right style="thin">
        <color rgb="FF2E3B5B"/>
      </right>
      <top style="thin">
        <color rgb="FF2E3B5B"/>
      </top>
      <bottom style="thin">
        <color rgb="FF2E3B5B"/>
      </bottom>
      <diagonal/>
    </border>
    <border>
      <left style="thin">
        <color rgb="FF3B6FE0"/>
      </left>
      <right style="thin">
        <color rgb="FF3B6FE0"/>
      </right>
      <top style="thin">
        <color rgb="FF3B6FE0"/>
      </top>
      <bottom style="thin">
        <color rgb="FF3B6FE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medium">
        <color rgb="FF14213D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1D5DB"/>
      </bottom>
      <diagonal/>
    </border>
    <border>
      <left style="thick">
        <color rgb="FFB45309"/>
      </left>
      <right/>
      <top/>
      <bottom/>
      <diagonal/>
    </border>
    <border>
      <left/>
      <right/>
      <top/>
      <bottom style="medium">
        <color rgb="FF2563EB"/>
      </bottom>
      <diagonal/>
    </border>
    <border>
      <left/>
      <right/>
      <top/>
      <bottom style="thin">
        <color rgb="FFE5E7EB"/>
      </bottom>
      <diagonal/>
    </border>
    <border>
      <left style="thick">
        <color rgb="FF15803D"/>
      </left>
      <right/>
      <top/>
      <bottom/>
      <diagonal/>
    </border>
    <border>
      <left style="thick">
        <color rgb="FFB91C1C"/>
      </left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0" fillId="3" borderId="0" xfId="0" applyFill="1"/>
    <xf numFmtId="0" fontId="3" fillId="0" borderId="0" xfId="0" applyFont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164" fontId="5" fillId="4" borderId="2" xfId="0" applyNumberFormat="1" applyFont="1" applyFill="1" applyBorder="1" applyAlignment="1">
      <alignment horizontal="left" vertical="center" indent="1"/>
    </xf>
    <xf numFmtId="165" fontId="5" fillId="4" borderId="2" xfId="0" applyNumberFormat="1" applyFont="1" applyFill="1" applyBorder="1" applyAlignment="1">
      <alignment horizontal="left" vertical="center" indent="1"/>
    </xf>
    <xf numFmtId="164" fontId="6" fillId="4" borderId="2" xfId="0" applyNumberFormat="1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left" vertical="top" indent="1"/>
    </xf>
    <xf numFmtId="0" fontId="8" fillId="5" borderId="3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166" fontId="12" fillId="0" borderId="6" xfId="0" applyNumberFormat="1" applyFont="1" applyBorder="1" applyAlignment="1">
      <alignment horizontal="left" vertical="center"/>
    </xf>
    <xf numFmtId="165" fontId="13" fillId="6" borderId="6" xfId="0" applyNumberFormat="1" applyFont="1" applyFill="1" applyBorder="1" applyAlignment="1">
      <alignment vertical="center"/>
    </xf>
    <xf numFmtId="165" fontId="14" fillId="0" borderId="6" xfId="0" applyNumberFormat="1" applyFont="1" applyBorder="1" applyAlignment="1">
      <alignment vertical="center"/>
    </xf>
    <xf numFmtId="165" fontId="15" fillId="0" borderId="6" xfId="0" applyNumberFormat="1" applyFont="1" applyBorder="1" applyAlignment="1">
      <alignment vertical="center"/>
    </xf>
    <xf numFmtId="165" fontId="12" fillId="0" borderId="6" xfId="0" applyNumberFormat="1" applyFont="1" applyBorder="1" applyAlignment="1">
      <alignment vertical="center"/>
    </xf>
    <xf numFmtId="167" fontId="12" fillId="0" borderId="6" xfId="0" applyNumberFormat="1" applyFont="1" applyBorder="1" applyAlignment="1">
      <alignment vertical="center"/>
    </xf>
    <xf numFmtId="164" fontId="12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3" fillId="6" borderId="6" xfId="0" applyFont="1" applyFill="1" applyBorder="1" applyAlignment="1">
      <alignment vertical="center" wrapText="1"/>
    </xf>
    <xf numFmtId="0" fontId="15" fillId="7" borderId="7" xfId="0" applyFont="1" applyFill="1" applyBorder="1" applyAlignment="1">
      <alignment vertical="center"/>
    </xf>
    <xf numFmtId="0" fontId="16" fillId="7" borderId="7" xfId="0" applyFont="1" applyFill="1" applyBorder="1" applyAlignment="1">
      <alignment vertical="center"/>
    </xf>
    <xf numFmtId="165" fontId="15" fillId="7" borderId="7" xfId="0" applyNumberFormat="1" applyFont="1" applyFill="1" applyBorder="1" applyAlignment="1">
      <alignment vertical="center"/>
    </xf>
    <xf numFmtId="167" fontId="15" fillId="7" borderId="7" xfId="0" applyNumberFormat="1" applyFont="1" applyFill="1" applyBorder="1" applyAlignment="1">
      <alignment vertical="center"/>
    </xf>
    <xf numFmtId="164" fontId="15" fillId="7" borderId="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0" fontId="15" fillId="7" borderId="8" xfId="0" applyFont="1" applyFill="1" applyBorder="1" applyAlignment="1">
      <alignment horizontal="right" vertical="center" indent="1"/>
    </xf>
    <xf numFmtId="165" fontId="15" fillId="7" borderId="8" xfId="0" applyNumberFormat="1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vertical="center"/>
    </xf>
    <xf numFmtId="0" fontId="18" fillId="7" borderId="8" xfId="0" applyFont="1" applyFill="1" applyBorder="1" applyAlignment="1">
      <alignment horizontal="left" vertical="center" indent="1"/>
    </xf>
    <xf numFmtId="0" fontId="19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vertical="center"/>
    </xf>
    <xf numFmtId="168" fontId="12" fillId="0" borderId="6" xfId="0" applyNumberFormat="1" applyFont="1" applyBorder="1" applyAlignment="1">
      <alignment horizontal="center" vertical="center"/>
    </xf>
    <xf numFmtId="169" fontId="12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0" fontId="12" fillId="0" borderId="6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5" fontId="20" fillId="0" borderId="6" xfId="0" applyNumberFormat="1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indent="1" wrapText="1"/>
    </xf>
    <xf numFmtId="0" fontId="3" fillId="0" borderId="6" xfId="0" applyFont="1" applyBorder="1" applyAlignment="1">
      <alignment vertical="center" wrapText="1"/>
    </xf>
    <xf numFmtId="0" fontId="19" fillId="8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vertical="center"/>
    </xf>
    <xf numFmtId="168" fontId="12" fillId="8" borderId="6" xfId="0" applyNumberFormat="1" applyFont="1" applyFill="1" applyBorder="1" applyAlignment="1">
      <alignment horizontal="center" vertical="center"/>
    </xf>
    <xf numFmtId="169" fontId="12" fillId="8" borderId="6" xfId="0" applyNumberFormat="1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170" fontId="12" fillId="8" borderId="6" xfId="0" applyNumberFormat="1" applyFont="1" applyFill="1" applyBorder="1" applyAlignment="1">
      <alignment horizontal="center" vertical="center"/>
    </xf>
    <xf numFmtId="165" fontId="10" fillId="8" borderId="6" xfId="0" applyNumberFormat="1" applyFont="1" applyFill="1" applyBorder="1" applyAlignment="1">
      <alignment horizontal="center" vertical="center"/>
    </xf>
    <xf numFmtId="165" fontId="12" fillId="8" borderId="6" xfId="0" applyNumberFormat="1" applyFont="1" applyFill="1" applyBorder="1" applyAlignment="1">
      <alignment horizontal="center" vertical="center"/>
    </xf>
    <xf numFmtId="165" fontId="20" fillId="8" borderId="6" xfId="0" applyNumberFormat="1" applyFont="1" applyFill="1" applyBorder="1" applyAlignment="1">
      <alignment horizontal="center" vertical="center"/>
    </xf>
    <xf numFmtId="167" fontId="10" fillId="8" borderId="6" xfId="0" applyNumberFormat="1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 wrapText="1"/>
    </xf>
    <xf numFmtId="0" fontId="3" fillId="8" borderId="6" xfId="0" applyFont="1" applyFill="1" applyBorder="1" applyAlignment="1">
      <alignment horizontal="left" vertical="center" indent="1" wrapText="1"/>
    </xf>
    <xf numFmtId="0" fontId="3" fillId="8" borderId="6" xfId="0" applyFont="1" applyFill="1" applyBorder="1" applyAlignment="1">
      <alignment vertical="center" wrapText="1"/>
    </xf>
    <xf numFmtId="170" fontId="22" fillId="9" borderId="6" xfId="0" applyNumberFormat="1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24" fillId="5" borderId="6" xfId="0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70" fontId="13" fillId="6" borderId="6" xfId="0" applyNumberFormat="1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right" vertical="center" indent="1"/>
    </xf>
    <xf numFmtId="0" fontId="26" fillId="0" borderId="0" xfId="0" applyFont="1" applyAlignment="1">
      <alignment horizontal="right" vertical="center"/>
    </xf>
    <xf numFmtId="0" fontId="27" fillId="10" borderId="9" xfId="0" applyFont="1" applyFill="1" applyBorder="1" applyAlignment="1">
      <alignment horizontal="left" vertical="center" indent="1"/>
    </xf>
    <xf numFmtId="0" fontId="15" fillId="0" borderId="10" xfId="0" applyFont="1" applyBorder="1" applyAlignment="1">
      <alignment horizontal="left" vertical="center" indent="1" shrinkToFit="1"/>
    </xf>
    <xf numFmtId="166" fontId="15" fillId="0" borderId="10" xfId="0" applyNumberFormat="1" applyFont="1" applyBorder="1" applyAlignment="1">
      <alignment horizontal="left" vertical="center" indent="1" shrinkToFit="1"/>
    </xf>
    <xf numFmtId="0" fontId="4" fillId="6" borderId="11" xfId="0" applyFont="1" applyFill="1" applyBorder="1" applyAlignment="1">
      <alignment horizontal="left" vertical="center" indent="1"/>
    </xf>
    <xf numFmtId="165" fontId="28" fillId="6" borderId="10" xfId="0" applyNumberFormat="1" applyFont="1" applyFill="1" applyBorder="1" applyAlignment="1">
      <alignment horizontal="left" vertical="center" indent="1" shrinkToFit="1"/>
    </xf>
    <xf numFmtId="0" fontId="29" fillId="6" borderId="11" xfId="0" applyFont="1" applyFill="1" applyBorder="1" applyAlignment="1">
      <alignment horizontal="left" vertical="center" indent="1"/>
    </xf>
    <xf numFmtId="0" fontId="30" fillId="0" borderId="10" xfId="0" applyFont="1" applyBorder="1" applyAlignment="1">
      <alignment horizontal="left" vertical="center" indent="1" shrinkToFit="1"/>
    </xf>
    <xf numFmtId="169" fontId="15" fillId="0" borderId="10" xfId="0" applyNumberFormat="1" applyFont="1" applyBorder="1" applyAlignment="1">
      <alignment horizontal="left" vertical="center" indent="1" shrinkToFit="1"/>
    </xf>
    <xf numFmtId="0" fontId="12" fillId="6" borderId="11" xfId="0" applyFont="1" applyFill="1" applyBorder="1" applyAlignment="1">
      <alignment horizontal="left" vertical="center" indent="1"/>
    </xf>
    <xf numFmtId="1" fontId="15" fillId="0" borderId="10" xfId="0" applyNumberFormat="1" applyFont="1" applyBorder="1" applyAlignment="1">
      <alignment horizontal="left" vertical="center" indent="1" shrinkToFit="1"/>
    </xf>
    <xf numFmtId="0" fontId="31" fillId="0" borderId="10" xfId="0" applyFont="1" applyBorder="1" applyAlignment="1">
      <alignment horizontal="left" vertical="center" indent="1" shrinkToFit="1"/>
    </xf>
    <xf numFmtId="0" fontId="25" fillId="0" borderId="10" xfId="0" applyFont="1" applyBorder="1" applyAlignment="1">
      <alignment horizontal="left" vertical="center" indent="1" shrinkToFit="1"/>
    </xf>
    <xf numFmtId="0" fontId="32" fillId="6" borderId="11" xfId="0" applyFont="1" applyFill="1" applyBorder="1" applyAlignment="1">
      <alignment horizontal="left" vertical="center" indent="1"/>
    </xf>
    <xf numFmtId="0" fontId="33" fillId="0" borderId="0" xfId="0" applyFont="1" applyAlignment="1">
      <alignment horizontal="center"/>
    </xf>
    <xf numFmtId="0" fontId="15" fillId="8" borderId="6" xfId="0" applyFont="1" applyFill="1" applyBorder="1" applyAlignment="1">
      <alignment horizontal="center" vertical="center"/>
    </xf>
    <xf numFmtId="169" fontId="10" fillId="8" borderId="6" xfId="0" applyNumberFormat="1" applyFont="1" applyFill="1" applyBorder="1" applyAlignment="1">
      <alignment horizontal="center" vertical="center"/>
    </xf>
    <xf numFmtId="0" fontId="25" fillId="8" borderId="6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left" vertical="center" indent="1" wrapText="1"/>
    </xf>
    <xf numFmtId="0" fontId="34" fillId="8" borderId="6" xfId="0" applyFont="1" applyFill="1" applyBorder="1" applyAlignment="1">
      <alignment horizontal="left" vertical="center" indent="1" wrapText="1"/>
    </xf>
    <xf numFmtId="169" fontId="10" fillId="0" borderId="6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65" fontId="15" fillId="0" borderId="6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 indent="1" wrapText="1"/>
    </xf>
    <xf numFmtId="0" fontId="35" fillId="0" borderId="6" xfId="0" applyFont="1" applyBorder="1" applyAlignment="1">
      <alignment horizontal="left" vertical="center" indent="1" wrapText="1"/>
    </xf>
    <xf numFmtId="0" fontId="18" fillId="8" borderId="6" xfId="0" applyFont="1" applyFill="1" applyBorder="1" applyAlignment="1">
      <alignment horizontal="center" vertical="center"/>
    </xf>
    <xf numFmtId="165" fontId="15" fillId="8" borderId="6" xfId="0" applyNumberFormat="1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left" vertical="center" indent="1" wrapText="1"/>
    </xf>
    <xf numFmtId="0" fontId="15" fillId="7" borderId="7" xfId="0" applyFont="1" applyFill="1" applyBorder="1" applyAlignment="1">
      <alignment horizontal="right" vertical="center" indent="1"/>
    </xf>
    <xf numFmtId="165" fontId="15" fillId="7" borderId="7" xfId="0" applyNumberFormat="1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/>
    </xf>
    <xf numFmtId="165" fontId="20" fillId="7" borderId="7" xfId="0" applyNumberFormat="1" applyFont="1" applyFill="1" applyBorder="1" applyAlignment="1">
      <alignment horizontal="center" vertical="center"/>
    </xf>
    <xf numFmtId="0" fontId="36" fillId="0" borderId="12" xfId="0" applyFont="1" applyBorder="1" applyAlignment="1"/>
    <xf numFmtId="0" fontId="37" fillId="10" borderId="9" xfId="0" applyFont="1" applyFill="1" applyBorder="1" applyAlignment="1">
      <alignment horizontal="left" vertical="center" indent="1"/>
    </xf>
    <xf numFmtId="165" fontId="38" fillId="0" borderId="13" xfId="0" applyNumberFormat="1" applyFont="1" applyBorder="1" applyAlignment="1">
      <alignment horizontal="right" vertical="center" indent="1" shrinkToFit="1"/>
    </xf>
    <xf numFmtId="165" fontId="15" fillId="0" borderId="13" xfId="0" applyNumberFormat="1" applyFont="1" applyBorder="1" applyAlignment="1">
      <alignment horizontal="right" vertical="center" indent="1" shrinkToFit="1"/>
    </xf>
    <xf numFmtId="0" fontId="12" fillId="0" borderId="6" xfId="0" applyFont="1" applyBorder="1" applyAlignment="1">
      <alignment horizontal="left" vertical="center" indent="1"/>
    </xf>
    <xf numFmtId="167" fontId="12" fillId="0" borderId="6" xfId="0" applyNumberFormat="1" applyFont="1" applyBorder="1" applyAlignment="1">
      <alignment horizontal="center" vertical="center"/>
    </xf>
    <xf numFmtId="167" fontId="15" fillId="0" borderId="13" xfId="0" applyNumberFormat="1" applyFont="1" applyBorder="1" applyAlignment="1">
      <alignment horizontal="right" vertical="center" indent="1" shrinkToFit="1"/>
    </xf>
    <xf numFmtId="0" fontId="15" fillId="0" borderId="13" xfId="0" applyFont="1" applyBorder="1" applyAlignment="1">
      <alignment horizontal="right" vertical="center" indent="1" shrinkToFit="1"/>
    </xf>
    <xf numFmtId="165" fontId="39" fillId="9" borderId="13" xfId="0" applyNumberFormat="1" applyFont="1" applyFill="1" applyBorder="1" applyAlignment="1">
      <alignment horizontal="right" vertical="center" indent="1" shrinkToFit="1"/>
    </xf>
    <xf numFmtId="164" fontId="15" fillId="0" borderId="13" xfId="0" applyNumberFormat="1" applyFont="1" applyBorder="1" applyAlignment="1">
      <alignment horizontal="right" vertical="center" indent="1" shrinkToFit="1"/>
    </xf>
    <xf numFmtId="0" fontId="15" fillId="7" borderId="7" xfId="0" applyFont="1" applyFill="1" applyBorder="1" applyAlignment="1">
      <alignment horizontal="left" vertical="center" indent="1"/>
    </xf>
    <xf numFmtId="167" fontId="15" fillId="7" borderId="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left" vertical="center" indent="1"/>
    </xf>
    <xf numFmtId="0" fontId="41" fillId="6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left" vertical="center" indent="1" wrapText="1"/>
    </xf>
    <xf numFmtId="0" fontId="42" fillId="9" borderId="6" xfId="0" applyFont="1" applyFill="1" applyBorder="1" applyAlignment="1">
      <alignment horizontal="center" vertical="center"/>
    </xf>
    <xf numFmtId="0" fontId="40" fillId="0" borderId="0" xfId="0" applyFont="1" applyAlignment="1">
      <alignment horizontal="left" vertical="top" indent="1" wrapText="1"/>
    </xf>
    <xf numFmtId="0" fontId="26" fillId="0" borderId="0" xfId="0" applyFont="1" applyAlignment="1">
      <alignment horizontal="left" vertical="center" indent="1"/>
    </xf>
    <xf numFmtId="0" fontId="4" fillId="11" borderId="14" xfId="0" applyFont="1" applyFill="1" applyBorder="1" applyAlignment="1">
      <alignment horizontal="left" vertical="center" indent="1"/>
    </xf>
    <xf numFmtId="165" fontId="15" fillId="0" borderId="10" xfId="0" applyNumberFormat="1" applyFont="1" applyBorder="1" applyAlignment="1">
      <alignment horizontal="left" vertical="center" indent="1" shrinkToFit="1"/>
    </xf>
    <xf numFmtId="0" fontId="43" fillId="11" borderId="14" xfId="0" applyFont="1" applyFill="1" applyBorder="1" applyAlignment="1">
      <alignment horizontal="left" vertical="center" indent="1"/>
    </xf>
    <xf numFmtId="0" fontId="12" fillId="11" borderId="14" xfId="0" applyFont="1" applyFill="1" applyBorder="1" applyAlignment="1">
      <alignment horizontal="left" vertical="center" indent="1"/>
    </xf>
    <xf numFmtId="0" fontId="44" fillId="11" borderId="14" xfId="0" applyFont="1" applyFill="1" applyBorder="1" applyAlignment="1">
      <alignment horizontal="left" vertical="center" indent="1"/>
    </xf>
    <xf numFmtId="0" fontId="17" fillId="0" borderId="6" xfId="0" applyFont="1" applyBorder="1" applyAlignment="1">
      <alignment horizontal="left" vertical="center" indent="1" wrapText="1"/>
    </xf>
    <xf numFmtId="0" fontId="45" fillId="0" borderId="6" xfId="0" applyFont="1" applyBorder="1" applyAlignment="1">
      <alignment horizontal="left" vertical="center" indent="1" wrapText="1"/>
    </xf>
    <xf numFmtId="0" fontId="15" fillId="12" borderId="6" xfId="0" applyFont="1" applyFill="1" applyBorder="1" applyAlignment="1">
      <alignment horizontal="center" vertical="center"/>
    </xf>
    <xf numFmtId="169" fontId="10" fillId="12" borderId="6" xfId="0" applyNumberFormat="1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12" fillId="12" borderId="6" xfId="0" applyFont="1" applyFill="1" applyBorder="1" applyAlignment="1">
      <alignment horizontal="center" vertical="center"/>
    </xf>
    <xf numFmtId="0" fontId="21" fillId="12" borderId="6" xfId="0" applyFont="1" applyFill="1" applyBorder="1" applyAlignment="1">
      <alignment horizontal="left" vertical="center" indent="1" wrapText="1"/>
    </xf>
    <xf numFmtId="0" fontId="46" fillId="12" borderId="6" xfId="0" applyFont="1" applyFill="1" applyBorder="1" applyAlignment="1">
      <alignment horizontal="left" vertical="center" indent="1" wrapText="1"/>
    </xf>
    <xf numFmtId="0" fontId="4" fillId="5" borderId="15" xfId="0" applyFont="1" applyFill="1" applyBorder="1" applyAlignment="1">
      <alignment horizontal="left" vertical="center" indent="1"/>
    </xf>
    <xf numFmtId="0" fontId="47" fillId="5" borderId="15" xfId="0" applyFont="1" applyFill="1" applyBorder="1" applyAlignment="1">
      <alignment horizontal="left" vertical="center" indent="1"/>
    </xf>
    <xf numFmtId="0" fontId="48" fillId="6" borderId="10" xfId="0" applyFont="1" applyFill="1" applyBorder="1" applyAlignment="1">
      <alignment horizontal="left" vertical="center" indent="1" shrinkToFit="1"/>
    </xf>
    <xf numFmtId="0" fontId="12" fillId="5" borderId="15" xfId="0" applyFont="1" applyFill="1" applyBorder="1" applyAlignment="1">
      <alignment horizontal="left" vertical="center" indent="1"/>
    </xf>
    <xf numFmtId="0" fontId="32" fillId="5" borderId="15" xfId="0" applyFont="1" applyFill="1" applyBorder="1" applyAlignment="1">
      <alignment horizontal="left" vertical="center" indent="1"/>
    </xf>
    <xf numFmtId="0" fontId="49" fillId="0" borderId="6" xfId="0" applyFont="1" applyBorder="1" applyAlignment="1">
      <alignment horizontal="left" vertical="center" indent="1" wrapText="1"/>
    </xf>
    <xf numFmtId="165" fontId="28" fillId="6" borderId="6" xfId="0" applyNumberFormat="1" applyFont="1" applyFill="1" applyBorder="1" applyAlignment="1">
      <alignment horizontal="center" vertical="center"/>
    </xf>
    <xf numFmtId="0" fontId="50" fillId="0" borderId="6" xfId="0" applyFont="1" applyBorder="1" applyAlignment="1">
      <alignment horizontal="left" vertical="center" indent="1" wrapText="1"/>
    </xf>
    <xf numFmtId="0" fontId="25" fillId="5" borderId="6" xfId="0" applyFont="1" applyFill="1" applyBorder="1" applyAlignment="1">
      <alignment horizontal="center" vertical="center"/>
    </xf>
    <xf numFmtId="167" fontId="25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indent="1"/>
    </xf>
    <xf numFmtId="165" fontId="20" fillId="0" borderId="6" xfId="0" applyNumberFormat="1" applyFont="1" applyBorder="1" applyAlignment="1">
      <alignment vertical="center"/>
    </xf>
    <xf numFmtId="171" fontId="12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indent="1"/>
    </xf>
    <xf numFmtId="165" fontId="15" fillId="7" borderId="7" xfId="0" applyNumberFormat="1" applyFont="1" applyFill="1" applyBorder="1" applyAlignment="1">
      <alignment horizontal="right" vertical="center"/>
    </xf>
    <xf numFmtId="171" fontId="15" fillId="7" borderId="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indent="1" wrapText="1"/>
    </xf>
    <xf numFmtId="0" fontId="24" fillId="5" borderId="16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indent="1" wrapText="1"/>
    </xf>
    <xf numFmtId="170" fontId="13" fillId="6" borderId="16" xfId="0" applyNumberFormat="1" applyFont="1" applyFill="1" applyBorder="1" applyAlignment="1">
      <alignment horizontal="center" vertical="center"/>
    </xf>
    <xf numFmtId="170" fontId="22" fillId="9" borderId="16" xfId="0" applyNumberFormat="1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31" fillId="11" borderId="16" xfId="0" applyFont="1" applyFill="1" applyBorder="1" applyAlignment="1">
      <alignment horizontal="center" vertical="center"/>
    </xf>
    <xf numFmtId="0" fontId="41" fillId="6" borderId="16" xfId="0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51" fillId="0" borderId="0" xfId="0" applyFont="1" applyAlignment="1">
      <alignment horizontal="right" vertical="center"/>
    </xf>
    <xf numFmtId="0" fontId="40" fillId="0" borderId="0" xfId="0" applyFont="1" applyAlignment="1">
      <alignment vertical="center"/>
    </xf>
    <xf numFmtId="0" fontId="15" fillId="0" borderId="13" xfId="0" applyFont="1" applyBorder="1" applyAlignment="1">
      <alignment horizontal="left" vertical="center" indent="1"/>
    </xf>
    <xf numFmtId="0" fontId="26" fillId="0" borderId="0" xfId="0" applyFont="1" applyAlignment="1">
      <alignment vertical="center"/>
    </xf>
  </cellXfs>
  <cellStyles count="1">
    <cellStyle name="Normal" xfId="0" builtinId="0"/>
  </cellStyles>
  <dxfs count="13">
    <dxf>
      <font>
        <color rgb="FF15803D"/>
      </font>
    </dxf>
    <dxf>
      <font>
        <color rgb="FFB91C1C"/>
      </font>
    </dxf>
    <dxf>
      <font>
        <color rgb="FFB45309"/>
      </font>
    </dxf>
    <dxf>
      <font>
        <color rgb="FFB91C1C"/>
      </font>
      <fill>
        <patternFill>
          <bgColor rgb="FFFEE2E2"/>
        </patternFill>
      </fill>
    </dxf>
    <dxf>
      <font>
        <b/>
        <color rgb="FFB91C1C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78350F"/>
      </font>
      <fill>
        <patternFill>
          <bgColor rgb="FFFEF3C7"/>
        </patternFill>
      </fill>
    </dxf>
    <dxf>
      <font>
        <b/>
        <color rgb="FF15803D"/>
      </font>
    </dxf>
    <dxf>
      <font>
        <color rgb="FF1D4ED8"/>
      </font>
    </dxf>
    <dxf>
      <font>
        <b/>
        <color rgb="FFB91C1C"/>
      </font>
    </dxf>
    <dxf>
      <font>
        <b/>
        <color rgb="FF15803D"/>
      </font>
      <fill>
        <patternFill>
          <bgColor rgb="FFDCFCE7"/>
        </patternFill>
      </fill>
    </dxf>
    <dxf>
      <font>
        <b/>
        <color rgb="FFB45309"/>
      </font>
      <fill>
        <patternFill>
          <bgColor rgb="FFFEF3C7"/>
        </patternFill>
      </fill>
    </dxf>
    <dxf>
      <font>
        <b/>
        <color rgb="FF1D4ED8"/>
      </font>
      <fill>
        <patternFill>
          <bgColor rgb="FFEFF6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iepilogo_fogli" displayName="Riepilogo_fogli" ref="A11:W15" totalsRowShown="0">
  <autoFilter ref="A11:W15"/>
  <tableColumns count="23">
    <tableColumn id="1" name="N."/>
    <tableColumn id="2" name="Operatore"/>
    <tableColumn id="3" name="Alunno"/>
    <tableColumn id="4" name="Istituto"/>
    <tableColumn id="5" name="Mese"/>
    <tableColumn id="6" name="Ore PEI sett."/>
    <tableColumn id="7" name="Ore programmate"/>
    <tableColumn id="8" name="Ore calcolate"/>
    <tableColumn id="9" name="Ore dichiarate"/>
    <tableColumn id="10" name="Ore riconosciute"/>
    <tableColumn id="11" name="Totale mensile dichiarato"/>
    <tableColumn id="12" name="Differenza totale"/>
    <tableColumn id="13" name="Giorni lavorati"/>
    <tableColumn id="14" name="Assenze alunno"/>
    <tableColumn id="15" name="Assenze operatore"/>
    <tableColumn id="16" name="Firme mancanti"/>
    <tableColumn id="17" name="Campi incerti"/>
    <tableColumn id="18" name="Campi illeggibili"/>
    <tableColumn id="19" name="Errori"/>
    <tableColumn id="20" name="Attenzioni"/>
    <tableColumn id="21" name="Stato"/>
    <tableColumn id="22" name="Verificato"/>
    <tableColumn id="23" name="File di orig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table" Target="../tables/table1.xml"/><Relationship Id="rId3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W19"/>
  <sheetViews>
    <sheetView showGridLines="0" tabSelected="1" zoomScale="90" zoomScaleNormal="9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8" customHeight="1"/>
  <cols>
    <col min="1" max="1" width="5.7109375" customWidth="1"/>
    <col min="2" max="3" width="24.7109375" customWidth="1"/>
    <col min="4" max="4" width="22.7109375" customWidth="1"/>
    <col min="5" max="5" width="13.7109375" customWidth="1"/>
    <col min="6" max="6" width="9.28515625" customWidth="1"/>
    <col min="7" max="7" width="11.28515625" customWidth="1"/>
    <col min="8" max="9" width="10.7109375" customWidth="1"/>
    <col min="10" max="10" width="11.28515625" customWidth="1"/>
    <col min="11" max="11" width="11.7109375" customWidth="1"/>
    <col min="12" max="12" width="10.7109375" customWidth="1"/>
    <col min="13" max="14" width="9.28515625" customWidth="1"/>
    <col min="15" max="15" width="9.7109375" customWidth="1"/>
    <col min="16" max="17" width="9.28515625" customWidth="1"/>
    <col min="18" max="18" width="10.28515625" customWidth="1"/>
    <col min="19" max="19" width="8.28515625" customWidth="1"/>
    <col min="20" max="20" width="9.7109375" customWidth="1"/>
    <col min="21" max="21" width="14.28515625" customWidth="1"/>
    <col min="22" max="22" width="10.28515625" customWidth="1"/>
    <col min="23" max="23" width="30.7109375" customWidth="1"/>
  </cols>
  <sheetData>
    <row r="1" spans="1:23" ht="34" customHeight="1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" customHeight="1">
      <c r="A2" s="2" t="s">
        <v>204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8" customHeight="1">
      <c r="A4" s="4" t="s">
        <v>205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22" customHeight="1">
      <c r="A5" s="5" t="s">
        <v>206</v>
      </c>
      <c r="B5" s="5"/>
      <c r="C5" s="5" t="s">
        <v>207</v>
      </c>
      <c r="D5" s="5"/>
      <c r="E5" s="5" t="s">
        <v>209</v>
      </c>
      <c r="F5" s="5"/>
      <c r="G5" s="5"/>
      <c r="H5" s="5" t="s">
        <v>211</v>
      </c>
      <c r="I5" s="5"/>
      <c r="J5" s="5"/>
      <c r="K5" s="5" t="s">
        <v>213</v>
      </c>
      <c r="L5" s="5"/>
      <c r="M5" s="5"/>
      <c r="N5" s="5"/>
      <c r="O5" s="5" t="s">
        <v>215</v>
      </c>
      <c r="P5" s="5"/>
      <c r="Q5" s="5"/>
      <c r="R5" s="5"/>
      <c r="S5" s="5" t="s">
        <v>216</v>
      </c>
      <c r="T5" s="5"/>
      <c r="U5" s="5"/>
      <c r="V5" s="5" t="s">
        <v>217</v>
      </c>
      <c r="W5" s="5"/>
    </row>
    <row r="6" spans="1:23" ht="34" customHeight="1">
      <c r="A6" s="6">
        <f>SUBTOTAL(103,$B$12:$B$15)</f>
        <v>4</v>
      </c>
      <c r="B6" s="6"/>
      <c r="C6" s="7">
        <f>$J$16</f>
        <v>208.25</v>
      </c>
      <c r="D6" s="7"/>
      <c r="E6" s="7">
        <f>$G$16</f>
        <v>218.0</v>
      </c>
      <c r="F6" s="7"/>
      <c r="G6" s="7"/>
      <c r="H6" s="6">
        <f>$M$16</f>
        <v>78.0</v>
      </c>
      <c r="I6" s="6"/>
      <c r="J6" s="6"/>
      <c r="K6" s="6">
        <f>$N$16</f>
        <v>2.0</v>
      </c>
      <c r="L6" s="6"/>
      <c r="M6" s="6"/>
      <c r="N6" s="6"/>
      <c r="O6" s="6">
        <f>$O$16</f>
        <v>1.0</v>
      </c>
      <c r="P6" s="6"/>
      <c r="Q6" s="6"/>
      <c r="R6" s="6"/>
      <c r="S6" s="8">
        <f>$R$16</f>
        <v>1</v>
      </c>
      <c r="T6" s="8"/>
      <c r="U6" s="8"/>
      <c r="V6" s="8">
        <f>$S$16+$T$16</f>
        <v>11</v>
      </c>
      <c r="W6" s="8"/>
    </row>
    <row r="7" spans="1:23" ht="18" customHeight="1">
      <c r="A7" s="9" t="str">
        <f>COUNTIF($V$12:$V$15,"Sì")&amp;IF(COUNTIF($V$12:$V$15,"Sì")=1," verificato"," verificati")&amp;" · "&amp;COUNTIF($U$12:$U$15,"Errori")&amp;" con errori"</f>
        <v>1 verificato · 2 con errori</v>
      </c>
      <c r="B7" s="9"/>
      <c r="C7" s="9" t="s">
        <v>208</v>
      </c>
      <c r="D7" s="9"/>
      <c r="E7" s="9" t="s">
        <v>210</v>
      </c>
      <c r="F7" s="9"/>
      <c r="G7" s="9"/>
      <c r="H7" s="9" t="s">
        <v>212</v>
      </c>
      <c r="I7" s="9"/>
      <c r="J7" s="9"/>
      <c r="K7" s="9" t="s">
        <v>214</v>
      </c>
      <c r="L7" s="9"/>
      <c r="M7" s="9"/>
      <c r="N7" s="9"/>
      <c r="O7" s="9" t="s">
        <v>214</v>
      </c>
      <c r="P7" s="9"/>
      <c r="Q7" s="9"/>
      <c r="R7" s="9"/>
      <c r="S7" s="9" t="str">
        <f>"più "&amp;$Q$16&amp;IF($Q$16=1," lettura incerta"," letture incerte")</f>
        <v>più 4 letture incerte</v>
      </c>
      <c r="T7" s="9"/>
      <c r="U7" s="9"/>
      <c r="V7" s="9" t="str">
        <f>$S$16&amp;IF($S$16=1," errore"," errori")&amp;" · "&amp;$T$16&amp;IF($T$16=1," attenzione"," attenzioni")</f>
        <v>3 errori · 8 attenzioni</v>
      </c>
      <c r="W7" s="9"/>
    </row>
    <row r="8" spans="1:23" ht="8" customHeight="1"/>
    <row r="9" spans="1:23" ht="24" customHeight="1">
      <c r="A9" s="10" t="s">
        <v>218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10" customHeight="1"/>
    <row r="11" spans="1:23" ht="36" customHeight="1">
      <c r="A11" s="11" t="s">
        <v>219</v>
      </c>
      <c r="B11" s="11" t="s">
        <v>10</v>
      </c>
      <c r="C11" s="11" t="s">
        <v>14</v>
      </c>
      <c r="D11" s="11" t="s">
        <v>177</v>
      </c>
      <c r="E11" s="11" t="s">
        <v>178</v>
      </c>
      <c r="F11" s="11" t="s">
        <v>220</v>
      </c>
      <c r="G11" s="12" t="s">
        <v>41</v>
      </c>
      <c r="H11" s="12" t="s">
        <v>42</v>
      </c>
      <c r="I11" s="11" t="s">
        <v>185</v>
      </c>
      <c r="J11" s="12" t="s">
        <v>43</v>
      </c>
      <c r="K11" s="11" t="s">
        <v>221</v>
      </c>
      <c r="L11" s="12" t="s">
        <v>222</v>
      </c>
      <c r="M11" s="11" t="s">
        <v>223</v>
      </c>
      <c r="N11" s="11" t="s">
        <v>66</v>
      </c>
      <c r="O11" s="11" t="s">
        <v>67</v>
      </c>
      <c r="P11" s="11" t="s">
        <v>224</v>
      </c>
      <c r="Q11" s="11" t="s">
        <v>225</v>
      </c>
      <c r="R11" s="11" t="s">
        <v>226</v>
      </c>
      <c r="S11" s="11" t="s">
        <v>227</v>
      </c>
      <c r="T11" s="11" t="s">
        <v>228</v>
      </c>
      <c r="U11" s="11" t="s">
        <v>229</v>
      </c>
      <c r="V11" s="11" t="s">
        <v>230</v>
      </c>
      <c r="W11" s="11" t="s">
        <v>231</v>
      </c>
    </row>
    <row r="12" spans="1:23" ht="20" customHeight="1">
      <c r="A12" s="13">
        <v>1</v>
      </c>
      <c r="B12" s="14" t="s">
        <v>11</v>
      </c>
      <c r="C12" s="15" t="s">
        <v>15</v>
      </c>
      <c r="D12" s="15" t="s">
        <v>8</v>
      </c>
      <c r="E12" s="16">
        <v>46082</v>
      </c>
      <c r="F12" s="17">
        <v>10</v>
      </c>
      <c r="G12" s="18">
        <f>'DE LUCA G. 03-2026'!$M$45</f>
        <v>44.0</v>
      </c>
      <c r="H12" s="18">
        <f>'DE LUCA G. 03-2026'!$N$45</f>
        <v>46.25</v>
      </c>
      <c r="I12" s="18">
        <f>'DE LUCA G. 03-2026'!$H$45</f>
        <v>46.25</v>
      </c>
      <c r="J12" s="19">
        <f>'DE LUCA G. 03-2026'!$O$45</f>
        <v>46.25</v>
      </c>
      <c r="K12" s="20">
        <f>IF(ISBLANK('DE LUCA G. 03-2026'!$H$48),"",'DE LUCA G. 03-2026'!$H$48)</f>
        <v>46.25</v>
      </c>
      <c r="L12" s="21">
        <f>IF(ISNUMBER(K12),I12-K12,"")</f>
        <v>0.0</v>
      </c>
      <c r="M12" s="22">
        <f>'DE LUCA G. 03-2026'!$H$55</f>
        <v>23.0</v>
      </c>
      <c r="N12" s="22">
        <f>'DE LUCA G. 03-2026'!$I$45</f>
        <v>0.0</v>
      </c>
      <c r="O12" s="22">
        <f>'DE LUCA G. 03-2026'!$J$45</f>
        <v>0.0</v>
      </c>
      <c r="P12" s="22">
        <v>0</v>
      </c>
      <c r="Q12" s="22">
        <v>1</v>
      </c>
      <c r="R12" s="22">
        <v>0</v>
      </c>
      <c r="S12" s="22">
        <v>0</v>
      </c>
      <c r="T12" s="22">
        <v>4</v>
      </c>
      <c r="U12" s="23" t="s">
        <v>232</v>
      </c>
      <c r="V12" s="24" t="s">
        <v>107</v>
      </c>
      <c r="W12" s="25" t="s">
        <v>233</v>
      </c>
    </row>
    <row r="13" spans="1:23" ht="20" customHeight="1">
      <c r="A13" s="13">
        <v>2</v>
      </c>
      <c r="B13" s="14" t="s">
        <v>106</v>
      </c>
      <c r="C13" s="15" t="s">
        <v>108</v>
      </c>
      <c r="D13" s="15" t="s">
        <v>105</v>
      </c>
      <c r="E13" s="16">
        <v>46054</v>
      </c>
      <c r="F13" s="20">
        <v>12</v>
      </c>
      <c r="G13" s="18">
        <f>'ESPOSITO A. 02-2026'!$M$45</f>
        <v>48.0</v>
      </c>
      <c r="H13" s="18">
        <f>'ESPOSITO A. 02-2026'!$N$45</f>
        <v>45.0</v>
      </c>
      <c r="I13" s="18">
        <f>'ESPOSITO A. 02-2026'!$H$45</f>
        <v>45.0</v>
      </c>
      <c r="J13" s="19">
        <f>'ESPOSITO A. 02-2026'!$O$45</f>
        <v>45.0</v>
      </c>
      <c r="K13" s="20">
        <f>IF(ISBLANK('ESPOSITO A. 02-2026'!$H$48),"",'ESPOSITO A. 02-2026'!$H$48)</f>
        <v>45.0</v>
      </c>
      <c r="L13" s="21">
        <f>IF(ISNUMBER(K13),I13-K13,"")</f>
        <v>0.0</v>
      </c>
      <c r="M13" s="22">
        <f>'ESPOSITO A. 02-2026'!$H$55</f>
        <v>15.0</v>
      </c>
      <c r="N13" s="22">
        <f>'ESPOSITO A. 02-2026'!$I$45</f>
        <v>0.0</v>
      </c>
      <c r="O13" s="22">
        <f>'ESPOSITO A. 02-2026'!$J$45</f>
        <v>1.0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3" t="s">
        <v>49</v>
      </c>
      <c r="V13" s="24" t="s">
        <v>13</v>
      </c>
      <c r="W13" s="25" t="s">
        <v>234</v>
      </c>
    </row>
    <row r="14" spans="1:23" ht="20" customHeight="1">
      <c r="A14" s="13">
        <v>3</v>
      </c>
      <c r="B14" s="14" t="s">
        <v>126</v>
      </c>
      <c r="C14" s="26" t="s">
        <v>127</v>
      </c>
      <c r="D14" s="15" t="s">
        <v>8</v>
      </c>
      <c r="E14" s="16">
        <v>46054</v>
      </c>
      <c r="F14" s="20">
        <v>15</v>
      </c>
      <c r="G14" s="18">
        <f>'ROSSI M. 02-2026'!$M$45</f>
        <v>60.0</v>
      </c>
      <c r="H14" s="18">
        <f>'ROSSI M. 02-2026'!$N$45</f>
        <v>48.0</v>
      </c>
      <c r="I14" s="18">
        <f>'ROSSI M. 02-2026'!$H$45</f>
        <v>52.5</v>
      </c>
      <c r="J14" s="19">
        <f>'ROSSI M. 02-2026'!$O$45</f>
        <v>52.5</v>
      </c>
      <c r="K14" s="20">
        <f>IF(ISBLANK('ROSSI M. 02-2026'!$H$48),"",'ROSSI M. 02-2026'!$H$48)</f>
        <v>52.5</v>
      </c>
      <c r="L14" s="21">
        <f>IF(ISNUMBER(K14),I14-K14,"")</f>
        <v>0.0</v>
      </c>
      <c r="M14" s="22">
        <f>'ROSSI M. 02-2026'!$H$55</f>
        <v>18.0</v>
      </c>
      <c r="N14" s="22">
        <f>'ROSSI M. 02-2026'!$I$45</f>
        <v>1.0</v>
      </c>
      <c r="O14" s="22">
        <f>'ROSSI M. 02-2026'!$J$45</f>
        <v>0.0</v>
      </c>
      <c r="P14" s="22">
        <v>0</v>
      </c>
      <c r="Q14" s="22">
        <v>2</v>
      </c>
      <c r="R14" s="22">
        <v>1</v>
      </c>
      <c r="S14" s="22">
        <v>1</v>
      </c>
      <c r="T14" s="22">
        <v>2</v>
      </c>
      <c r="U14" s="23" t="s">
        <v>227</v>
      </c>
      <c r="V14" s="24" t="s">
        <v>107</v>
      </c>
      <c r="W14" s="25" t="s">
        <v>235</v>
      </c>
    </row>
    <row r="15" spans="1:23" ht="20" customHeight="1">
      <c r="A15" s="13">
        <v>4</v>
      </c>
      <c r="B15" s="14" t="s">
        <v>126</v>
      </c>
      <c r="C15" s="15" t="s">
        <v>127</v>
      </c>
      <c r="D15" s="15" t="s">
        <v>8</v>
      </c>
      <c r="E15" s="16">
        <v>46082</v>
      </c>
      <c r="F15" s="20">
        <v>15</v>
      </c>
      <c r="G15" s="18">
        <f>'ROSSI M. 03-2026'!$M$45</f>
        <v>66.0</v>
      </c>
      <c r="H15" s="18">
        <f>'ROSSI M. 03-2026'!$N$45</f>
        <v>62.5</v>
      </c>
      <c r="I15" s="18">
        <f>'ROSSI M. 03-2026'!$H$45</f>
        <v>64.5</v>
      </c>
      <c r="J15" s="19">
        <f>'ROSSI M. 03-2026'!$O$45</f>
        <v>64.5</v>
      </c>
      <c r="K15" s="20">
        <f>IF(ISBLANK('ROSSI M. 03-2026'!$H$48),"",'ROSSI M. 03-2026'!$H$48)</f>
        <v>64.0</v>
      </c>
      <c r="L15" s="21">
        <f>IF(ISNUMBER(K15),I15-K15,"")</f>
        <v>0.5</v>
      </c>
      <c r="M15" s="22">
        <f>'ROSSI M. 03-2026'!$H$55</f>
        <v>22.0</v>
      </c>
      <c r="N15" s="22">
        <f>'ROSSI M. 03-2026'!$I$45</f>
        <v>1.0</v>
      </c>
      <c r="O15" s="22">
        <f>'ROSSI M. 03-2026'!$J$45</f>
        <v>0.0</v>
      </c>
      <c r="P15" s="22">
        <v>1</v>
      </c>
      <c r="Q15" s="22">
        <v>1</v>
      </c>
      <c r="R15" s="22">
        <v>0</v>
      </c>
      <c r="S15" s="22">
        <v>2</v>
      </c>
      <c r="T15" s="22">
        <v>2</v>
      </c>
      <c r="U15" s="23" t="s">
        <v>227</v>
      </c>
      <c r="V15" s="24" t="s">
        <v>107</v>
      </c>
      <c r="W15" s="25" t="s">
        <v>236</v>
      </c>
    </row>
    <row r="16" spans="1:23" ht="24" customHeight="1">
      <c r="A16" s="27"/>
      <c r="B16" s="27" t="s">
        <v>237</v>
      </c>
      <c r="C16" s="28" t="str">
        <f>SUBTOTAL(103,$B$12:$B$15)&amp;" fogli firma"</f>
        <v>4 fogli firma</v>
      </c>
      <c r="D16" s="27"/>
      <c r="E16" s="27"/>
      <c r="F16" s="27"/>
      <c r="G16" s="29">
        <f>SUBTOTAL(109,$G$12:$G$15)</f>
        <v>218.0</v>
      </c>
      <c r="H16" s="29">
        <f>SUBTOTAL(109,$H$12:$H$15)</f>
        <v>201.75</v>
      </c>
      <c r="I16" s="29">
        <f>SUBTOTAL(109,$I$12:$I$15)</f>
        <v>208.25</v>
      </c>
      <c r="J16" s="29">
        <f>SUBTOTAL(109,$J$12:$J$15)</f>
        <v>208.25</v>
      </c>
      <c r="K16" s="29">
        <f>SUBTOTAL(109,$K$12:$K$15)</f>
        <v>207.75</v>
      </c>
      <c r="L16" s="30">
        <f>SUBTOTAL(109,$L$12:$L$15)</f>
        <v>0.5</v>
      </c>
      <c r="M16" s="31">
        <f>SUBTOTAL(109,$M$12:$M$15)</f>
        <v>78.0</v>
      </c>
      <c r="N16" s="31">
        <f>SUBTOTAL(109,$N$12:$N$15)</f>
        <v>2.0</v>
      </c>
      <c r="O16" s="31">
        <f>SUBTOTAL(109,$O$12:$O$15)</f>
        <v>1.0</v>
      </c>
      <c r="P16" s="31">
        <f>SUBTOTAL(109,$P$12:$P$15)</f>
        <v>1</v>
      </c>
      <c r="Q16" s="31">
        <f>SUBTOTAL(109,$Q$12:$Q$15)</f>
        <v>4</v>
      </c>
      <c r="R16" s="31">
        <f>SUBTOTAL(109,$R$12:$R$15)</f>
        <v>1</v>
      </c>
      <c r="S16" s="31">
        <f>SUBTOTAL(109,$S$12:$S$15)</f>
        <v>3</v>
      </c>
      <c r="T16" s="31">
        <f>SUBTOTAL(109,$T$12:$T$15)</f>
        <v>8</v>
      </c>
      <c r="U16" s="27"/>
      <c r="V16" s="27"/>
      <c r="W16" s="27"/>
    </row>
    <row r="18" spans="1:23" ht="18" customHeight="1">
      <c r="A18" s="32" t="s">
        <v>238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</row>
    <row r="19" spans="1:23" ht="18" customHeight="1">
      <c r="A19" s="32" t="s">
        <v>239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</sheetData>
  <mergeCells count="30">
    <mergeCell ref="A1:W1"/>
    <mergeCell ref="A2:W2"/>
    <mergeCell ref="A4:W4"/>
    <mergeCell ref="A5:B5"/>
    <mergeCell ref="A6:B6"/>
    <mergeCell ref="A7:B7"/>
    <mergeCell ref="C5:D5"/>
    <mergeCell ref="C6:D6"/>
    <mergeCell ref="C7:D7"/>
    <mergeCell ref="E5:G5"/>
    <mergeCell ref="E6:G6"/>
    <mergeCell ref="E7:G7"/>
    <mergeCell ref="H5:J5"/>
    <mergeCell ref="H6:J6"/>
    <mergeCell ref="H7:J7"/>
    <mergeCell ref="K5:N5"/>
    <mergeCell ref="K6:N6"/>
    <mergeCell ref="K7:N7"/>
    <mergeCell ref="O5:R5"/>
    <mergeCell ref="O6:R6"/>
    <mergeCell ref="O7:R7"/>
    <mergeCell ref="S5:U5"/>
    <mergeCell ref="S6:U6"/>
    <mergeCell ref="S7:U7"/>
    <mergeCell ref="V5:W5"/>
    <mergeCell ref="V6:W6"/>
    <mergeCell ref="V7:W7"/>
    <mergeCell ref="A9:W9"/>
    <mergeCell ref="A18:W18"/>
    <mergeCell ref="A19:W19"/>
  </mergeCells>
  <conditionalFormatting sqref="L12:L15">
    <cfRule type="expression" dxfId="5" priority="10">
      <formula>AND(ISNUMBER(L12),ABS(L12)&gt;0.01)</formula>
    </cfRule>
  </conditionalFormatting>
  <conditionalFormatting sqref="P12:P15">
    <cfRule type="cellIs" dxfId="6" priority="9" operator="greaterThan">
      <formula>0</formula>
    </cfRule>
  </conditionalFormatting>
  <conditionalFormatting sqref="Q12:Q15">
    <cfRule type="cellIs" dxfId="6" priority="7" operator="greaterThan">
      <formula>0</formula>
    </cfRule>
  </conditionalFormatting>
  <conditionalFormatting sqref="R12:R15">
    <cfRule type="cellIs" dxfId="5" priority="5" operator="greaterThan">
      <formula>0</formula>
    </cfRule>
  </conditionalFormatting>
  <conditionalFormatting sqref="S12:S15">
    <cfRule type="cellIs" dxfId="5" priority="6" operator="greaterThan">
      <formula>0</formula>
    </cfRule>
  </conditionalFormatting>
  <conditionalFormatting sqref="T12:T15">
    <cfRule type="cellIs" dxfId="6" priority="8" operator="greaterThan">
      <formula>0</formula>
    </cfRule>
  </conditionalFormatting>
  <conditionalFormatting sqref="U12:U15">
    <cfRule type="cellIs" dxfId="10" priority="1" operator="equal">
      <formula>"OK"</formula>
    </cfRule>
    <cfRule type="cellIs" dxfId="11" priority="2" operator="equal">
      <formula>"Da verificare"</formula>
    </cfRule>
    <cfRule type="cellIs" dxfId="4" priority="3" operator="equal">
      <formula>"Errori"</formula>
    </cfRule>
  </conditionalFormatting>
  <conditionalFormatting sqref="V12:V15">
    <cfRule type="cellIs" dxfId="7" priority="4" operator="equal">
      <formula>"Sì"</formula>
    </cfRule>
  </conditionalFormatting>
  <dataValidations count="1">
    <dataValidation type="list" allowBlank="1" showInputMessage="1" showErrorMessage="1" errorTitle="Valore non ammesso" error="Scegliere «Sì» oppure «No»." sqref="V12:V15">
      <formula1>"Sì,No"</formula1>
    </dataValidation>
  </dataValidations>
  <hyperlinks>
    <hyperlink ref="B12" location="'DE LUCA G. 03-2026'!A1" tooltip="Apri la scheda del foglio firma" display="DE LUCA GIOVANNA"/>
    <hyperlink ref="B13" location="'ESPOSITO A. 02-2026'!A1" tooltip="Apri la scheda del foglio firma" display="ESPOSITO ANNA"/>
    <hyperlink ref="B14" location="'ROSSI M. 02-2026'!A1" tooltip="Apri la scheda del foglio firma" display="ROSSI MARIO"/>
    <hyperlink ref="B15" location="'ROSSI M. 03-2026'!A1" tooltip="Apri la scheda del foglio firma" display="ROSSI MARIO"/>
  </hyperlinks>
  <printOptions horizontalCentered="1"/>
  <pageMargins left="0.35" right="0.35" top="0.6" bottom="0.6" header="0.25" footer="0.25"/>
  <pageSetup paperSize="9" fitToHeight="0" orientation="landscape"/>
  <headerFooter>
    <oddHeader>&amp;L&amp;"Calibri,Regular"&amp;8&amp;K6B7280Sirio OCR · Rendicontazione Assistenza Specialistica&amp;R&amp;"Calibri,Regular"&amp;8&amp;K6B7280&amp;A</oddHeader>
    <oddFooter>&amp;L&amp;"Calibri,Regular"&amp;8&amp;K6B7280Generato il 10/10/2026 alle 17:01&amp;R&amp;"Calibri,Regular"&amp;8&amp;K6B7280Pagina &amp;P di &amp;N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63EB"/>
    <pageSetUpPr fitToPage="1"/>
  </sheetPr>
  <dimension ref="A1:W86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8" customHeight="1"/>
  <cols>
    <col min="1" max="1" width="6.7109375" customWidth="1"/>
    <col min="2" max="2" width="24.7109375" customWidth="1"/>
    <col min="3" max="3" width="26.7109375" customWidth="1"/>
    <col min="4" max="4" width="25.7109375" customWidth="1"/>
    <col min="5" max="5" width="10.7109375" customWidth="1"/>
    <col min="6" max="6" width="11.7109375" customWidth="1"/>
    <col min="7" max="7" width="7.7109375" customWidth="1"/>
    <col min="8" max="12" width="10.28515625" customWidth="1"/>
    <col min="13" max="13" width="9.7109375" customWidth="1"/>
    <col min="14" max="15" width="10.28515625" customWidth="1"/>
    <col min="16" max="16" width="11.28515625" customWidth="1"/>
    <col min="17" max="20" width="10.28515625" customWidth="1"/>
    <col min="21" max="21" width="20.7109375" customWidth="1"/>
    <col min="22" max="22" width="38.7109375" customWidth="1"/>
    <col min="23" max="23" width="64.7109375" customWidth="1"/>
  </cols>
  <sheetData>
    <row r="1" spans="1:23" ht="34" customHeight="1">
      <c r="A1" s="1" t="s">
        <v>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0" customHeight="1">
      <c r="A2" s="2" t="s">
        <v>174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2" customHeight="1">
      <c r="A4" s="33" t="s">
        <v>175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4">
        <f>SUBTOTAL(109,$M$6:$M$86)</f>
        <v>218.0</v>
      </c>
      <c r="N4" s="34">
        <f>SUBTOTAL(109,$N$6:$N$86)</f>
        <v>201.75</v>
      </c>
      <c r="O4" s="34">
        <f>SUBTOTAL(109,$O$6:$O$86)</f>
        <v>208.25</v>
      </c>
      <c r="P4" s="34">
        <f>SUBTOTAL(109,$P$6:$P$86)</f>
        <v>208.25</v>
      </c>
      <c r="Q4" s="35"/>
      <c r="R4" s="35"/>
      <c r="S4" s="35"/>
      <c r="T4" s="35"/>
      <c r="U4" s="35"/>
      <c r="V4" s="36" t="str">
        <f>SUBTOTAL(103,$A$6:$A$86)&amp;" giornate visibili"</f>
        <v>81 giornate visibili</v>
      </c>
      <c r="W4" s="35"/>
    </row>
    <row r="5" spans="1:23" ht="34" customHeight="1">
      <c r="A5" s="11" t="s">
        <v>176</v>
      </c>
      <c r="B5" s="11" t="s">
        <v>10</v>
      </c>
      <c r="C5" s="11" t="s">
        <v>14</v>
      </c>
      <c r="D5" s="11" t="s">
        <v>177</v>
      </c>
      <c r="E5" s="11" t="s">
        <v>178</v>
      </c>
      <c r="F5" s="11" t="s">
        <v>30</v>
      </c>
      <c r="G5" s="11" t="s">
        <v>29</v>
      </c>
      <c r="H5" s="11" t="s">
        <v>179</v>
      </c>
      <c r="I5" s="11" t="s">
        <v>180</v>
      </c>
      <c r="J5" s="11" t="s">
        <v>181</v>
      </c>
      <c r="K5" s="11" t="s">
        <v>182</v>
      </c>
      <c r="L5" s="11" t="s">
        <v>183</v>
      </c>
      <c r="M5" s="12" t="s">
        <v>184</v>
      </c>
      <c r="N5" s="12" t="s">
        <v>42</v>
      </c>
      <c r="O5" s="11" t="s">
        <v>185</v>
      </c>
      <c r="P5" s="12" t="s">
        <v>43</v>
      </c>
      <c r="Q5" s="12" t="s">
        <v>186</v>
      </c>
      <c r="R5" s="11" t="s">
        <v>33</v>
      </c>
      <c r="S5" s="11" t="s">
        <v>34</v>
      </c>
      <c r="T5" s="11" t="s">
        <v>187</v>
      </c>
      <c r="U5" s="11" t="s">
        <v>36</v>
      </c>
      <c r="V5" s="12" t="s">
        <v>72</v>
      </c>
      <c r="W5" s="12" t="s">
        <v>188</v>
      </c>
    </row>
    <row r="6" spans="1:23" ht="18.2" customHeight="1">
      <c r="A6" s="37">
        <v>1</v>
      </c>
      <c r="B6" s="38" t="s">
        <v>11</v>
      </c>
      <c r="C6" s="38" t="s">
        <v>15</v>
      </c>
      <c r="D6" s="38" t="s">
        <v>8</v>
      </c>
      <c r="E6" s="39">
        <v>46082</v>
      </c>
      <c r="F6" s="40">
        <v>46083</v>
      </c>
      <c r="G6" s="41" t="s">
        <v>48</v>
      </c>
      <c r="H6" s="42" t="s">
        <v>190</v>
      </c>
      <c r="I6" s="43">
        <v>0.375</v>
      </c>
      <c r="J6" s="43">
        <v>0.4583333333333333</v>
      </c>
      <c r="K6" s="43">
        <v>0.375</v>
      </c>
      <c r="L6" s="43">
        <v>0.4583333333333333</v>
      </c>
      <c r="M6" s="44">
        <f>IF(AND(ISNUMBER(I6),ISNUMBER(J6)),IF(J6&gt;I6,(J6-I6)*24,""),"")</f>
        <v>2.0</v>
      </c>
      <c r="N6" s="45">
        <f>IF(AND(ISNUMBER(K6),ISNUMBER(L6)),IF(L6&gt;K6,(L6-K6)*24,""),"")</f>
        <v>2.0</v>
      </c>
      <c r="O6" s="45">
        <v>2</v>
      </c>
      <c r="P6" s="46">
        <f>IF(S6="Sì",0,IF(ISNUMBER(O6),O6,IF(ISNUMBER(N6),N6,"")))</f>
        <v>2.0</v>
      </c>
      <c r="Q6" s="47">
        <f>IF(AND(ISNUMBER(O6),ISNUMBER(N6)),O6-N6,"")</f>
        <v>0.0</v>
      </c>
      <c r="R6" s="24"/>
      <c r="S6" s="24"/>
      <c r="T6" s="24" t="s">
        <v>13</v>
      </c>
      <c r="U6" s="48"/>
      <c r="V6" s="49" t="s">
        <v>49</v>
      </c>
      <c r="W6" s="50"/>
    </row>
    <row r="7" spans="1:23" ht="18.2" customHeight="1">
      <c r="A7" s="37">
        <v>1</v>
      </c>
      <c r="B7" s="38" t="s">
        <v>11</v>
      </c>
      <c r="C7" s="38" t="s">
        <v>15</v>
      </c>
      <c r="D7" s="38" t="s">
        <v>8</v>
      </c>
      <c r="E7" s="39">
        <v>46082</v>
      </c>
      <c r="F7" s="40">
        <v>46084</v>
      </c>
      <c r="G7" s="41" t="s">
        <v>50</v>
      </c>
      <c r="H7" s="42" t="s">
        <v>190</v>
      </c>
      <c r="I7" s="43">
        <v>0.375</v>
      </c>
      <c r="J7" s="43">
        <v>0.4583333333333333</v>
      </c>
      <c r="K7" s="43">
        <v>0.375</v>
      </c>
      <c r="L7" s="43">
        <v>0.4583333333333333</v>
      </c>
      <c r="M7" s="44">
        <f>IF(AND(ISNUMBER(I7),ISNUMBER(J7)),IF(J7&gt;I7,(J7-I7)*24,""),"")</f>
        <v>2.0</v>
      </c>
      <c r="N7" s="45">
        <f>IF(AND(ISNUMBER(K7),ISNUMBER(L7)),IF(L7&gt;K7,(L7-K7)*24,""),"")</f>
        <v>2.0</v>
      </c>
      <c r="O7" s="45">
        <v>2</v>
      </c>
      <c r="P7" s="46">
        <f>IF(S7="Sì",0,IF(ISNUMBER(O7),O7,IF(ISNUMBER(N7),N7,"")))</f>
        <v>2.0</v>
      </c>
      <c r="Q7" s="47">
        <f>IF(AND(ISNUMBER(O7),ISNUMBER(N7)),O7-N7,"")</f>
        <v>0.0</v>
      </c>
      <c r="R7" s="24"/>
      <c r="S7" s="24"/>
      <c r="T7" s="24" t="s">
        <v>13</v>
      </c>
      <c r="U7" s="48"/>
      <c r="V7" s="49" t="s">
        <v>49</v>
      </c>
      <c r="W7" s="50"/>
    </row>
    <row r="8" spans="1:23" ht="18.2" customHeight="1">
      <c r="A8" s="37">
        <v>1</v>
      </c>
      <c r="B8" s="38" t="s">
        <v>11</v>
      </c>
      <c r="C8" s="38" t="s">
        <v>15</v>
      </c>
      <c r="D8" s="38" t="s">
        <v>8</v>
      </c>
      <c r="E8" s="39">
        <v>46082</v>
      </c>
      <c r="F8" s="40">
        <v>46085</v>
      </c>
      <c r="G8" s="41" t="s">
        <v>51</v>
      </c>
      <c r="H8" s="42" t="s">
        <v>190</v>
      </c>
      <c r="I8" s="43">
        <v>0.375</v>
      </c>
      <c r="J8" s="43">
        <v>0.4583333333333333</v>
      </c>
      <c r="K8" s="43">
        <v>0.375</v>
      </c>
      <c r="L8" s="43">
        <v>0.4583333333333333</v>
      </c>
      <c r="M8" s="44">
        <f>IF(AND(ISNUMBER(I8),ISNUMBER(J8)),IF(J8&gt;I8,(J8-I8)*24,""),"")</f>
        <v>2.0</v>
      </c>
      <c r="N8" s="45">
        <f>IF(AND(ISNUMBER(K8),ISNUMBER(L8)),IF(L8&gt;K8,(L8-K8)*24,""),"")</f>
        <v>2.0</v>
      </c>
      <c r="O8" s="45">
        <v>2</v>
      </c>
      <c r="P8" s="46">
        <f>IF(S8="Sì",0,IF(ISNUMBER(O8),O8,IF(ISNUMBER(N8),N8,"")))</f>
        <v>2.0</v>
      </c>
      <c r="Q8" s="47">
        <f>IF(AND(ISNUMBER(O8),ISNUMBER(N8)),O8-N8,"")</f>
        <v>0.0</v>
      </c>
      <c r="R8" s="24"/>
      <c r="S8" s="24"/>
      <c r="T8" s="24" t="s">
        <v>13</v>
      </c>
      <c r="U8" s="48"/>
      <c r="V8" s="49" t="s">
        <v>49</v>
      </c>
      <c r="W8" s="50"/>
    </row>
    <row r="9" spans="1:23" ht="18.2" customHeight="1">
      <c r="A9" s="37">
        <v>1</v>
      </c>
      <c r="B9" s="38" t="s">
        <v>11</v>
      </c>
      <c r="C9" s="38" t="s">
        <v>15</v>
      </c>
      <c r="D9" s="38" t="s">
        <v>8</v>
      </c>
      <c r="E9" s="39">
        <v>46082</v>
      </c>
      <c r="F9" s="40">
        <v>46086</v>
      </c>
      <c r="G9" s="41" t="s">
        <v>52</v>
      </c>
      <c r="H9" s="42" t="s">
        <v>190</v>
      </c>
      <c r="I9" s="43">
        <v>0.375</v>
      </c>
      <c r="J9" s="43">
        <v>0.4583333333333333</v>
      </c>
      <c r="K9" s="43">
        <v>0.375</v>
      </c>
      <c r="L9" s="43">
        <v>0.4583333333333333</v>
      </c>
      <c r="M9" s="44">
        <f>IF(AND(ISNUMBER(I9),ISNUMBER(J9)),IF(J9&gt;I9,(J9-I9)*24,""),"")</f>
        <v>2.0</v>
      </c>
      <c r="N9" s="45">
        <f>IF(AND(ISNUMBER(K9),ISNUMBER(L9)),IF(L9&gt;K9,(L9-K9)*24,""),"")</f>
        <v>2.0</v>
      </c>
      <c r="O9" s="45">
        <v>2</v>
      </c>
      <c r="P9" s="46">
        <f>IF(S9="Sì",0,IF(ISNUMBER(O9),O9,IF(ISNUMBER(N9),N9,"")))</f>
        <v>2.0</v>
      </c>
      <c r="Q9" s="47">
        <f>IF(AND(ISNUMBER(O9),ISNUMBER(N9)),O9-N9,"")</f>
        <v>0.0</v>
      </c>
      <c r="R9" s="24"/>
      <c r="S9" s="24"/>
      <c r="T9" s="24" t="s">
        <v>13</v>
      </c>
      <c r="U9" s="48"/>
      <c r="V9" s="49" t="s">
        <v>49</v>
      </c>
      <c r="W9" s="50"/>
    </row>
    <row r="10" spans="1:23" ht="18.2" customHeight="1">
      <c r="A10" s="37">
        <v>1</v>
      </c>
      <c r="B10" s="38" t="s">
        <v>11</v>
      </c>
      <c r="C10" s="38" t="s">
        <v>15</v>
      </c>
      <c r="D10" s="38" t="s">
        <v>8</v>
      </c>
      <c r="E10" s="39">
        <v>46082</v>
      </c>
      <c r="F10" s="40">
        <v>46087</v>
      </c>
      <c r="G10" s="41" t="s">
        <v>53</v>
      </c>
      <c r="H10" s="42" t="s">
        <v>190</v>
      </c>
      <c r="I10" s="43">
        <v>0.375</v>
      </c>
      <c r="J10" s="43">
        <v>0.4583333333333333</v>
      </c>
      <c r="K10" s="43">
        <v>0.375</v>
      </c>
      <c r="L10" s="43">
        <v>0.4583333333333333</v>
      </c>
      <c r="M10" s="44">
        <f>IF(AND(ISNUMBER(I10),ISNUMBER(J10)),IF(J10&gt;I10,(J10-I10)*24,""),"")</f>
        <v>2.0</v>
      </c>
      <c r="N10" s="45">
        <f>IF(AND(ISNUMBER(K10),ISNUMBER(L10)),IF(L10&gt;K10,(L10-K10)*24,""),"")</f>
        <v>2.0</v>
      </c>
      <c r="O10" s="45">
        <v>2</v>
      </c>
      <c r="P10" s="46">
        <f>IF(S10="Sì",0,IF(ISNUMBER(O10),O10,IF(ISNUMBER(N10),N10,"")))</f>
        <v>2.0</v>
      </c>
      <c r="Q10" s="47">
        <f>IF(AND(ISNUMBER(O10),ISNUMBER(N10)),O10-N10,"")</f>
        <v>0.0</v>
      </c>
      <c r="R10" s="24"/>
      <c r="S10" s="24"/>
      <c r="T10" s="24" t="s">
        <v>13</v>
      </c>
      <c r="U10" s="48"/>
      <c r="V10" s="49" t="s">
        <v>49</v>
      </c>
      <c r="W10" s="50"/>
    </row>
    <row r="11" spans="1:23" ht="18.2" customHeight="1">
      <c r="A11" s="37">
        <v>1</v>
      </c>
      <c r="B11" s="38" t="s">
        <v>11</v>
      </c>
      <c r="C11" s="38" t="s">
        <v>15</v>
      </c>
      <c r="D11" s="38" t="s">
        <v>8</v>
      </c>
      <c r="E11" s="39">
        <v>46082</v>
      </c>
      <c r="F11" s="40">
        <v>46090</v>
      </c>
      <c r="G11" s="41" t="s">
        <v>48</v>
      </c>
      <c r="H11" s="42" t="s">
        <v>190</v>
      </c>
      <c r="I11" s="43">
        <v>0.375</v>
      </c>
      <c r="J11" s="43">
        <v>0.4583333333333333</v>
      </c>
      <c r="K11" s="43">
        <v>0.375</v>
      </c>
      <c r="L11" s="43">
        <v>0.4583333333333333</v>
      </c>
      <c r="M11" s="44">
        <f>IF(AND(ISNUMBER(I11),ISNUMBER(J11)),IF(J11&gt;I11,(J11-I11)*24,""),"")</f>
        <v>2.0</v>
      </c>
      <c r="N11" s="45">
        <f>IF(AND(ISNUMBER(K11),ISNUMBER(L11)),IF(L11&gt;K11,(L11-K11)*24,""),"")</f>
        <v>2.0</v>
      </c>
      <c r="O11" s="45">
        <v>2</v>
      </c>
      <c r="P11" s="46">
        <f>IF(S11="Sì",0,IF(ISNUMBER(O11),O11,IF(ISNUMBER(N11),N11,"")))</f>
        <v>2.0</v>
      </c>
      <c r="Q11" s="47">
        <f>IF(AND(ISNUMBER(O11),ISNUMBER(N11)),O11-N11,"")</f>
        <v>0.0</v>
      </c>
      <c r="R11" s="24"/>
      <c r="S11" s="24"/>
      <c r="T11" s="24" t="s">
        <v>13</v>
      </c>
      <c r="U11" s="48"/>
      <c r="V11" s="49" t="s">
        <v>49</v>
      </c>
      <c r="W11" s="50"/>
    </row>
    <row r="12" spans="1:23" ht="18.2" customHeight="1">
      <c r="A12" s="37">
        <v>1</v>
      </c>
      <c r="B12" s="38" t="s">
        <v>11</v>
      </c>
      <c r="C12" s="38" t="s">
        <v>15</v>
      </c>
      <c r="D12" s="38" t="s">
        <v>8</v>
      </c>
      <c r="E12" s="39">
        <v>46082</v>
      </c>
      <c r="F12" s="40">
        <v>46091</v>
      </c>
      <c r="G12" s="41" t="s">
        <v>50</v>
      </c>
      <c r="H12" s="42" t="s">
        <v>190</v>
      </c>
      <c r="I12" s="43">
        <v>0.375</v>
      </c>
      <c r="J12" s="43">
        <v>0.4583333333333333</v>
      </c>
      <c r="K12" s="43">
        <v>0.375</v>
      </c>
      <c r="L12" s="43">
        <v>0.4583333333333333</v>
      </c>
      <c r="M12" s="44">
        <f>IF(AND(ISNUMBER(I12),ISNUMBER(J12)),IF(J12&gt;I12,(J12-I12)*24,""),"")</f>
        <v>2.0</v>
      </c>
      <c r="N12" s="45">
        <f>IF(AND(ISNUMBER(K12),ISNUMBER(L12)),IF(L12&gt;K12,(L12-K12)*24,""),"")</f>
        <v>2.0</v>
      </c>
      <c r="O12" s="45">
        <v>2</v>
      </c>
      <c r="P12" s="46">
        <f>IF(S12="Sì",0,IF(ISNUMBER(O12),O12,IF(ISNUMBER(N12),N12,"")))</f>
        <v>2.0</v>
      </c>
      <c r="Q12" s="47">
        <f>IF(AND(ISNUMBER(O12),ISNUMBER(N12)),O12-N12,"")</f>
        <v>0.0</v>
      </c>
      <c r="R12" s="24"/>
      <c r="S12" s="24"/>
      <c r="T12" s="24" t="s">
        <v>13</v>
      </c>
      <c r="U12" s="48"/>
      <c r="V12" s="49" t="s">
        <v>49</v>
      </c>
      <c r="W12" s="50"/>
    </row>
    <row r="13" spans="1:23" ht="18.2" customHeight="1">
      <c r="A13" s="37">
        <v>1</v>
      </c>
      <c r="B13" s="38" t="s">
        <v>11</v>
      </c>
      <c r="C13" s="38" t="s">
        <v>15</v>
      </c>
      <c r="D13" s="38" t="s">
        <v>8</v>
      </c>
      <c r="E13" s="39">
        <v>46082</v>
      </c>
      <c r="F13" s="40">
        <v>46092</v>
      </c>
      <c r="G13" s="41" t="s">
        <v>51</v>
      </c>
      <c r="H13" s="42" t="s">
        <v>190</v>
      </c>
      <c r="I13" s="43">
        <v>0.375</v>
      </c>
      <c r="J13" s="43">
        <v>0.4583333333333333</v>
      </c>
      <c r="K13" s="43">
        <v>0.375</v>
      </c>
      <c r="L13" s="43">
        <v>0.4583333333333333</v>
      </c>
      <c r="M13" s="44">
        <f>IF(AND(ISNUMBER(I13),ISNUMBER(J13)),IF(J13&gt;I13,(J13-I13)*24,""),"")</f>
        <v>2.0</v>
      </c>
      <c r="N13" s="45">
        <f>IF(AND(ISNUMBER(K13),ISNUMBER(L13)),IF(L13&gt;K13,(L13-K13)*24,""),"")</f>
        <v>2.0</v>
      </c>
      <c r="O13" s="45">
        <v>2</v>
      </c>
      <c r="P13" s="46">
        <f>IF(S13="Sì",0,IF(ISNUMBER(O13),O13,IF(ISNUMBER(N13),N13,"")))</f>
        <v>2.0</v>
      </c>
      <c r="Q13" s="47">
        <f>IF(AND(ISNUMBER(O13),ISNUMBER(N13)),O13-N13,"")</f>
        <v>0.0</v>
      </c>
      <c r="R13" s="24"/>
      <c r="S13" s="24"/>
      <c r="T13" s="24" t="s">
        <v>13</v>
      </c>
      <c r="U13" s="48"/>
      <c r="V13" s="49" t="s">
        <v>49</v>
      </c>
      <c r="W13" s="50"/>
    </row>
    <row r="14" spans="1:23" ht="18.2" customHeight="1">
      <c r="A14" s="37">
        <v>1</v>
      </c>
      <c r="B14" s="38" t="s">
        <v>11</v>
      </c>
      <c r="C14" s="38" t="s">
        <v>15</v>
      </c>
      <c r="D14" s="38" t="s">
        <v>8</v>
      </c>
      <c r="E14" s="39">
        <v>46082</v>
      </c>
      <c r="F14" s="40">
        <v>46093</v>
      </c>
      <c r="G14" s="41" t="s">
        <v>52</v>
      </c>
      <c r="H14" s="42" t="s">
        <v>190</v>
      </c>
      <c r="I14" s="43">
        <v>0.375</v>
      </c>
      <c r="J14" s="43">
        <v>0.4583333333333333</v>
      </c>
      <c r="K14" s="43">
        <v>0.375</v>
      </c>
      <c r="L14" s="43">
        <v>0.4583333333333333</v>
      </c>
      <c r="M14" s="44">
        <f>IF(AND(ISNUMBER(I14),ISNUMBER(J14)),IF(J14&gt;I14,(J14-I14)*24,""),"")</f>
        <v>2.0</v>
      </c>
      <c r="N14" s="45">
        <f>IF(AND(ISNUMBER(K14),ISNUMBER(L14)),IF(L14&gt;K14,(L14-K14)*24,""),"")</f>
        <v>2.0</v>
      </c>
      <c r="O14" s="45">
        <v>2</v>
      </c>
      <c r="P14" s="46">
        <f>IF(S14="Sì",0,IF(ISNUMBER(O14),O14,IF(ISNUMBER(N14),N14,"")))</f>
        <v>2.0</v>
      </c>
      <c r="Q14" s="47">
        <f>IF(AND(ISNUMBER(O14),ISNUMBER(N14)),O14-N14,"")</f>
        <v>0.0</v>
      </c>
      <c r="R14" s="24"/>
      <c r="S14" s="24"/>
      <c r="T14" s="24" t="s">
        <v>13</v>
      </c>
      <c r="U14" s="48"/>
      <c r="V14" s="49" t="s">
        <v>49</v>
      </c>
      <c r="W14" s="50"/>
    </row>
    <row r="15" spans="1:23" ht="18.2" customHeight="1">
      <c r="A15" s="37">
        <v>1</v>
      </c>
      <c r="B15" s="38" t="s">
        <v>11</v>
      </c>
      <c r="C15" s="38" t="s">
        <v>15</v>
      </c>
      <c r="D15" s="38" t="s">
        <v>8</v>
      </c>
      <c r="E15" s="39">
        <v>46082</v>
      </c>
      <c r="F15" s="40">
        <v>46094</v>
      </c>
      <c r="G15" s="41" t="s">
        <v>53</v>
      </c>
      <c r="H15" s="42" t="s">
        <v>190</v>
      </c>
      <c r="I15" s="43">
        <v>0.375</v>
      </c>
      <c r="J15" s="43">
        <v>0.4583333333333333</v>
      </c>
      <c r="K15" s="43">
        <v>0.375</v>
      </c>
      <c r="L15" s="43">
        <v>0.4583333333333333</v>
      </c>
      <c r="M15" s="44">
        <f>IF(AND(ISNUMBER(I15),ISNUMBER(J15)),IF(J15&gt;I15,(J15-I15)*24,""),"")</f>
        <v>2.0</v>
      </c>
      <c r="N15" s="45">
        <f>IF(AND(ISNUMBER(K15),ISNUMBER(L15)),IF(L15&gt;K15,(L15-K15)*24,""),"")</f>
        <v>2.0</v>
      </c>
      <c r="O15" s="45">
        <v>2</v>
      </c>
      <c r="P15" s="46">
        <f>IF(S15="Sì",0,IF(ISNUMBER(O15),O15,IF(ISNUMBER(N15),N15,"")))</f>
        <v>2.0</v>
      </c>
      <c r="Q15" s="47">
        <f>IF(AND(ISNUMBER(O15),ISNUMBER(N15)),O15-N15,"")</f>
        <v>0.0</v>
      </c>
      <c r="R15" s="24"/>
      <c r="S15" s="24"/>
      <c r="T15" s="24" t="s">
        <v>13</v>
      </c>
      <c r="U15" s="48"/>
      <c r="V15" s="49" t="s">
        <v>49</v>
      </c>
      <c r="W15" s="50"/>
    </row>
    <row r="16" spans="1:23" ht="31.4" customHeight="1">
      <c r="A16" s="51">
        <v>1</v>
      </c>
      <c r="B16" s="52" t="s">
        <v>11</v>
      </c>
      <c r="C16" s="52" t="s">
        <v>15</v>
      </c>
      <c r="D16" s="52" t="s">
        <v>8</v>
      </c>
      <c r="E16" s="53">
        <v>46082</v>
      </c>
      <c r="F16" s="54">
        <v>46095</v>
      </c>
      <c r="G16" s="55" t="s">
        <v>54</v>
      </c>
      <c r="H16" s="56" t="s">
        <v>55</v>
      </c>
      <c r="I16" s="57"/>
      <c r="J16" s="57"/>
      <c r="K16" s="58">
        <v>0.375</v>
      </c>
      <c r="L16" s="58">
        <v>0.4583333333333333</v>
      </c>
      <c r="M16" s="59">
        <f>IF(AND(ISNUMBER(I16),ISNUMBER(J16)),IF(J16&gt;I16,(J16-I16)*24,""),"")</f>
        <v/>
      </c>
      <c r="N16" s="60">
        <f>IF(AND(ISNUMBER(K16),ISNUMBER(L16)),IF(L16&gt;K16,(L16-K16)*24,""),"")</f>
        <v>2.0</v>
      </c>
      <c r="O16" s="60">
        <v>2</v>
      </c>
      <c r="P16" s="61">
        <f>IF(S16="Sì",0,IF(ISNUMBER(O16),O16,IF(ISNUMBER(N16),N16,"")))</f>
        <v>2.0</v>
      </c>
      <c r="Q16" s="62">
        <f>IF(AND(ISNUMBER(O16),ISNUMBER(N16)),O16-N16,"")</f>
        <v>0.0</v>
      </c>
      <c r="R16" s="57"/>
      <c r="S16" s="57"/>
      <c r="T16" s="57" t="s">
        <v>13</v>
      </c>
      <c r="U16" s="63" t="s">
        <v>56</v>
      </c>
      <c r="V16" s="64" t="s">
        <v>49</v>
      </c>
      <c r="W16" s="65" t="s">
        <v>191</v>
      </c>
    </row>
    <row r="17" spans="1:23" ht="18.2" customHeight="1">
      <c r="A17" s="37">
        <v>1</v>
      </c>
      <c r="B17" s="38" t="s">
        <v>11</v>
      </c>
      <c r="C17" s="38" t="s">
        <v>15</v>
      </c>
      <c r="D17" s="38" t="s">
        <v>8</v>
      </c>
      <c r="E17" s="39">
        <v>46082</v>
      </c>
      <c r="F17" s="40">
        <v>46097</v>
      </c>
      <c r="G17" s="41" t="s">
        <v>48</v>
      </c>
      <c r="H17" s="42" t="s">
        <v>190</v>
      </c>
      <c r="I17" s="43">
        <v>0.375</v>
      </c>
      <c r="J17" s="43">
        <v>0.4583333333333333</v>
      </c>
      <c r="K17" s="43">
        <v>0.375</v>
      </c>
      <c r="L17" s="43">
        <v>0.4583333333333333</v>
      </c>
      <c r="M17" s="44">
        <f>IF(AND(ISNUMBER(I17),ISNUMBER(J17)),IF(J17&gt;I17,(J17-I17)*24,""),"")</f>
        <v>2.0</v>
      </c>
      <c r="N17" s="45">
        <f>IF(AND(ISNUMBER(K17),ISNUMBER(L17)),IF(L17&gt;K17,(L17-K17)*24,""),"")</f>
        <v>2.0</v>
      </c>
      <c r="O17" s="45">
        <v>2</v>
      </c>
      <c r="P17" s="46">
        <f>IF(S17="Sì",0,IF(ISNUMBER(O17),O17,IF(ISNUMBER(N17),N17,"")))</f>
        <v>2.0</v>
      </c>
      <c r="Q17" s="47">
        <f>IF(AND(ISNUMBER(O17),ISNUMBER(N17)),O17-N17,"")</f>
        <v>0.0</v>
      </c>
      <c r="R17" s="24"/>
      <c r="S17" s="24"/>
      <c r="T17" s="24" t="s">
        <v>13</v>
      </c>
      <c r="U17" s="48"/>
      <c r="V17" s="49" t="s">
        <v>49</v>
      </c>
      <c r="W17" s="50"/>
    </row>
    <row r="18" spans="1:23" ht="18.2" customHeight="1">
      <c r="A18" s="37">
        <v>1</v>
      </c>
      <c r="B18" s="38" t="s">
        <v>11</v>
      </c>
      <c r="C18" s="38" t="s">
        <v>15</v>
      </c>
      <c r="D18" s="38" t="s">
        <v>8</v>
      </c>
      <c r="E18" s="39">
        <v>46082</v>
      </c>
      <c r="F18" s="40">
        <v>46098</v>
      </c>
      <c r="G18" s="41" t="s">
        <v>50</v>
      </c>
      <c r="H18" s="42" t="s">
        <v>190</v>
      </c>
      <c r="I18" s="43">
        <v>0.375</v>
      </c>
      <c r="J18" s="43">
        <v>0.4583333333333333</v>
      </c>
      <c r="K18" s="43">
        <v>0.375</v>
      </c>
      <c r="L18" s="43">
        <v>0.4583333333333333</v>
      </c>
      <c r="M18" s="44">
        <f>IF(AND(ISNUMBER(I18),ISNUMBER(J18)),IF(J18&gt;I18,(J18-I18)*24,""),"")</f>
        <v>2.0</v>
      </c>
      <c r="N18" s="45">
        <f>IF(AND(ISNUMBER(K18),ISNUMBER(L18)),IF(L18&gt;K18,(L18-K18)*24,""),"")</f>
        <v>2.0</v>
      </c>
      <c r="O18" s="45">
        <v>2</v>
      </c>
      <c r="P18" s="46">
        <f>IF(S18="Sì",0,IF(ISNUMBER(O18),O18,IF(ISNUMBER(N18),N18,"")))</f>
        <v>2.0</v>
      </c>
      <c r="Q18" s="47">
        <f>IF(AND(ISNUMBER(O18),ISNUMBER(N18)),O18-N18,"")</f>
        <v>0.0</v>
      </c>
      <c r="R18" s="24"/>
      <c r="S18" s="24"/>
      <c r="T18" s="24" t="s">
        <v>13</v>
      </c>
      <c r="U18" s="48"/>
      <c r="V18" s="49" t="s">
        <v>49</v>
      </c>
      <c r="W18" s="50"/>
    </row>
    <row r="19" spans="1:23" ht="18.2" customHeight="1">
      <c r="A19" s="37">
        <v>1</v>
      </c>
      <c r="B19" s="38" t="s">
        <v>11</v>
      </c>
      <c r="C19" s="38" t="s">
        <v>15</v>
      </c>
      <c r="D19" s="38" t="s">
        <v>8</v>
      </c>
      <c r="E19" s="39">
        <v>46082</v>
      </c>
      <c r="F19" s="40">
        <v>46099</v>
      </c>
      <c r="G19" s="41" t="s">
        <v>51</v>
      </c>
      <c r="H19" s="42" t="s">
        <v>190</v>
      </c>
      <c r="I19" s="43">
        <v>0.375</v>
      </c>
      <c r="J19" s="43">
        <v>0.4583333333333333</v>
      </c>
      <c r="K19" s="43">
        <v>0.375</v>
      </c>
      <c r="L19" s="43">
        <v>0.4583333333333333</v>
      </c>
      <c r="M19" s="44">
        <f>IF(AND(ISNUMBER(I19),ISNUMBER(J19)),IF(J19&gt;I19,(J19-I19)*24,""),"")</f>
        <v>2.0</v>
      </c>
      <c r="N19" s="45">
        <f>IF(AND(ISNUMBER(K19),ISNUMBER(L19)),IF(L19&gt;K19,(L19-K19)*24,""),"")</f>
        <v>2.0</v>
      </c>
      <c r="O19" s="45">
        <v>2</v>
      </c>
      <c r="P19" s="46">
        <f>IF(S19="Sì",0,IF(ISNUMBER(O19),O19,IF(ISNUMBER(N19),N19,"")))</f>
        <v>2.0</v>
      </c>
      <c r="Q19" s="47">
        <f>IF(AND(ISNUMBER(O19),ISNUMBER(N19)),O19-N19,"")</f>
        <v>0.0</v>
      </c>
      <c r="R19" s="24"/>
      <c r="S19" s="24"/>
      <c r="T19" s="24" t="s">
        <v>13</v>
      </c>
      <c r="U19" s="48"/>
      <c r="V19" s="49" t="s">
        <v>49</v>
      </c>
      <c r="W19" s="50"/>
    </row>
    <row r="20" spans="1:23" ht="18.2" customHeight="1">
      <c r="A20" s="37">
        <v>1</v>
      </c>
      <c r="B20" s="38" t="s">
        <v>11</v>
      </c>
      <c r="C20" s="38" t="s">
        <v>15</v>
      </c>
      <c r="D20" s="38" t="s">
        <v>8</v>
      </c>
      <c r="E20" s="39">
        <v>46082</v>
      </c>
      <c r="F20" s="40">
        <v>46100</v>
      </c>
      <c r="G20" s="41" t="s">
        <v>52</v>
      </c>
      <c r="H20" s="42" t="s">
        <v>190</v>
      </c>
      <c r="I20" s="43">
        <v>0.375</v>
      </c>
      <c r="J20" s="43">
        <v>0.4583333333333333</v>
      </c>
      <c r="K20" s="43">
        <v>0.375</v>
      </c>
      <c r="L20" s="43">
        <v>0.4583333333333333</v>
      </c>
      <c r="M20" s="44">
        <f>IF(AND(ISNUMBER(I20),ISNUMBER(J20)),IF(J20&gt;I20,(J20-I20)*24,""),"")</f>
        <v>2.0</v>
      </c>
      <c r="N20" s="45">
        <f>IF(AND(ISNUMBER(K20),ISNUMBER(L20)),IF(L20&gt;K20,(L20-K20)*24,""),"")</f>
        <v>2.0</v>
      </c>
      <c r="O20" s="45">
        <v>2</v>
      </c>
      <c r="P20" s="46">
        <f>IF(S20="Sì",0,IF(ISNUMBER(O20),O20,IF(ISNUMBER(N20),N20,"")))</f>
        <v>2.0</v>
      </c>
      <c r="Q20" s="47">
        <f>IF(AND(ISNUMBER(O20),ISNUMBER(N20)),O20-N20,"")</f>
        <v>0.0</v>
      </c>
      <c r="R20" s="24"/>
      <c r="S20" s="24"/>
      <c r="T20" s="24" t="s">
        <v>13</v>
      </c>
      <c r="U20" s="48"/>
      <c r="V20" s="49" t="s">
        <v>49</v>
      </c>
      <c r="W20" s="50"/>
    </row>
    <row r="21" spans="1:23" ht="18.2" customHeight="1">
      <c r="A21" s="37">
        <v>1</v>
      </c>
      <c r="B21" s="38" t="s">
        <v>11</v>
      </c>
      <c r="C21" s="38" t="s">
        <v>15</v>
      </c>
      <c r="D21" s="38" t="s">
        <v>8</v>
      </c>
      <c r="E21" s="39">
        <v>46082</v>
      </c>
      <c r="F21" s="40">
        <v>46101</v>
      </c>
      <c r="G21" s="41" t="s">
        <v>53</v>
      </c>
      <c r="H21" s="42" t="s">
        <v>190</v>
      </c>
      <c r="I21" s="43">
        <v>0.375</v>
      </c>
      <c r="J21" s="43">
        <v>0.4583333333333333</v>
      </c>
      <c r="K21" s="43">
        <v>0.375</v>
      </c>
      <c r="L21" s="43">
        <v>0.46875</v>
      </c>
      <c r="M21" s="44">
        <f>IF(AND(ISNUMBER(I21),ISNUMBER(J21)),IF(J21&gt;I21,(J21-I21)*24,""),"")</f>
        <v>2.0</v>
      </c>
      <c r="N21" s="45">
        <f>IF(AND(ISNUMBER(K21),ISNUMBER(L21)),IF(L21&gt;K21,(L21-K21)*24,""),"")</f>
        <v>2.25</v>
      </c>
      <c r="O21" s="45">
        <v>2.25</v>
      </c>
      <c r="P21" s="46">
        <f>IF(S21="Sì",0,IF(ISNUMBER(O21),O21,IF(ISNUMBER(N21),N21,"")))</f>
        <v>2.25</v>
      </c>
      <c r="Q21" s="47">
        <f>IF(AND(ISNUMBER(O21),ISNUMBER(N21)),O21-N21,"")</f>
        <v>0.0</v>
      </c>
      <c r="R21" s="24"/>
      <c r="S21" s="24"/>
      <c r="T21" s="24" t="s">
        <v>13</v>
      </c>
      <c r="U21" s="48"/>
      <c r="V21" s="49" t="s">
        <v>49</v>
      </c>
      <c r="W21" s="50" t="s">
        <v>192</v>
      </c>
    </row>
    <row r="22" spans="1:23" ht="18.2" customHeight="1">
      <c r="A22" s="37">
        <v>1</v>
      </c>
      <c r="B22" s="38" t="s">
        <v>11</v>
      </c>
      <c r="C22" s="38" t="s">
        <v>15</v>
      </c>
      <c r="D22" s="38" t="s">
        <v>8</v>
      </c>
      <c r="E22" s="39">
        <v>46082</v>
      </c>
      <c r="F22" s="40">
        <v>46104</v>
      </c>
      <c r="G22" s="41" t="s">
        <v>48</v>
      </c>
      <c r="H22" s="42" t="s">
        <v>190</v>
      </c>
      <c r="I22" s="43">
        <v>0.375</v>
      </c>
      <c r="J22" s="43">
        <v>0.4583333333333333</v>
      </c>
      <c r="K22" s="43">
        <v>0.375</v>
      </c>
      <c r="L22" s="43">
        <v>0.4583333333333333</v>
      </c>
      <c r="M22" s="44">
        <f>IF(AND(ISNUMBER(I22),ISNUMBER(J22)),IF(J22&gt;I22,(J22-I22)*24,""),"")</f>
        <v>2.0</v>
      </c>
      <c r="N22" s="45">
        <f>IF(AND(ISNUMBER(K22),ISNUMBER(L22)),IF(L22&gt;K22,(L22-K22)*24,""),"")</f>
        <v>2.0</v>
      </c>
      <c r="O22" s="45">
        <v>2</v>
      </c>
      <c r="P22" s="46">
        <f>IF(S22="Sì",0,IF(ISNUMBER(O22),O22,IF(ISNUMBER(N22),N22,"")))</f>
        <v>2.0</v>
      </c>
      <c r="Q22" s="47">
        <f>IF(AND(ISNUMBER(O22),ISNUMBER(N22)),O22-N22,"")</f>
        <v>0.0</v>
      </c>
      <c r="R22" s="24"/>
      <c r="S22" s="24"/>
      <c r="T22" s="24" t="s">
        <v>13</v>
      </c>
      <c r="U22" s="48"/>
      <c r="V22" s="49" t="s">
        <v>49</v>
      </c>
      <c r="W22" s="50"/>
    </row>
    <row r="23" spans="1:23" ht="18.2" customHeight="1">
      <c r="A23" s="37">
        <v>1</v>
      </c>
      <c r="B23" s="38" t="s">
        <v>11</v>
      </c>
      <c r="C23" s="38" t="s">
        <v>15</v>
      </c>
      <c r="D23" s="38" t="s">
        <v>8</v>
      </c>
      <c r="E23" s="39">
        <v>46082</v>
      </c>
      <c r="F23" s="40">
        <v>46105</v>
      </c>
      <c r="G23" s="41" t="s">
        <v>50</v>
      </c>
      <c r="H23" s="42" t="s">
        <v>190</v>
      </c>
      <c r="I23" s="43">
        <v>0.375</v>
      </c>
      <c r="J23" s="43">
        <v>0.4583333333333333</v>
      </c>
      <c r="K23" s="43">
        <v>0.375</v>
      </c>
      <c r="L23" s="43">
        <v>0.4583333333333333</v>
      </c>
      <c r="M23" s="44">
        <f>IF(AND(ISNUMBER(I23),ISNUMBER(J23)),IF(J23&gt;I23,(J23-I23)*24,""),"")</f>
        <v>2.0</v>
      </c>
      <c r="N23" s="45">
        <f>IF(AND(ISNUMBER(K23),ISNUMBER(L23)),IF(L23&gt;K23,(L23-K23)*24,""),"")</f>
        <v>2.0</v>
      </c>
      <c r="O23" s="45">
        <v>2</v>
      </c>
      <c r="P23" s="46">
        <f>IF(S23="Sì",0,IF(ISNUMBER(O23),O23,IF(ISNUMBER(N23),N23,"")))</f>
        <v>2.0</v>
      </c>
      <c r="Q23" s="47">
        <f>IF(AND(ISNUMBER(O23),ISNUMBER(N23)),O23-N23,"")</f>
        <v>0.0</v>
      </c>
      <c r="R23" s="24"/>
      <c r="S23" s="24"/>
      <c r="T23" s="24" t="s">
        <v>13</v>
      </c>
      <c r="U23" s="48"/>
      <c r="V23" s="49" t="s">
        <v>49</v>
      </c>
      <c r="W23" s="50"/>
    </row>
    <row r="24" spans="1:23" ht="18.2" customHeight="1">
      <c r="A24" s="37">
        <v>1</v>
      </c>
      <c r="B24" s="38" t="s">
        <v>11</v>
      </c>
      <c r="C24" s="38" t="s">
        <v>15</v>
      </c>
      <c r="D24" s="38" t="s">
        <v>8</v>
      </c>
      <c r="E24" s="39">
        <v>46082</v>
      </c>
      <c r="F24" s="40">
        <v>46106</v>
      </c>
      <c r="G24" s="41" t="s">
        <v>51</v>
      </c>
      <c r="H24" s="42" t="s">
        <v>190</v>
      </c>
      <c r="I24" s="43">
        <v>0.375</v>
      </c>
      <c r="J24" s="43">
        <v>0.4583333333333333</v>
      </c>
      <c r="K24" s="43">
        <v>0.375</v>
      </c>
      <c r="L24" s="43">
        <v>0.4583333333333333</v>
      </c>
      <c r="M24" s="44">
        <f>IF(AND(ISNUMBER(I24),ISNUMBER(J24)),IF(J24&gt;I24,(J24-I24)*24,""),"")</f>
        <v>2.0</v>
      </c>
      <c r="N24" s="45">
        <f>IF(AND(ISNUMBER(K24),ISNUMBER(L24)),IF(L24&gt;K24,(L24-K24)*24,""),"")</f>
        <v>2.0</v>
      </c>
      <c r="O24" s="45">
        <v>2</v>
      </c>
      <c r="P24" s="46">
        <f>IF(S24="Sì",0,IF(ISNUMBER(O24),O24,IF(ISNUMBER(N24),N24,"")))</f>
        <v>2.0</v>
      </c>
      <c r="Q24" s="47">
        <f>IF(AND(ISNUMBER(O24),ISNUMBER(N24)),O24-N24,"")</f>
        <v>0.0</v>
      </c>
      <c r="R24" s="24"/>
      <c r="S24" s="24"/>
      <c r="T24" s="24" t="s">
        <v>13</v>
      </c>
      <c r="U24" s="48"/>
      <c r="V24" s="49" t="s">
        <v>49</v>
      </c>
      <c r="W24" s="50"/>
    </row>
    <row r="25" spans="1:23" ht="18.2" customHeight="1">
      <c r="A25" s="37">
        <v>1</v>
      </c>
      <c r="B25" s="38" t="s">
        <v>11</v>
      </c>
      <c r="C25" s="38" t="s">
        <v>15</v>
      </c>
      <c r="D25" s="38" t="s">
        <v>8</v>
      </c>
      <c r="E25" s="39">
        <v>46082</v>
      </c>
      <c r="F25" s="40">
        <v>46107</v>
      </c>
      <c r="G25" s="41" t="s">
        <v>52</v>
      </c>
      <c r="H25" s="42" t="s">
        <v>190</v>
      </c>
      <c r="I25" s="43">
        <v>0.375</v>
      </c>
      <c r="J25" s="43">
        <v>0.4583333333333333</v>
      </c>
      <c r="K25" s="43">
        <v>0.375</v>
      </c>
      <c r="L25" s="43">
        <v>0.4583333333333333</v>
      </c>
      <c r="M25" s="44">
        <f>IF(AND(ISNUMBER(I25),ISNUMBER(J25)),IF(J25&gt;I25,(J25-I25)*24,""),"")</f>
        <v>2.0</v>
      </c>
      <c r="N25" s="45">
        <f>IF(AND(ISNUMBER(K25),ISNUMBER(L25)),IF(L25&gt;K25,(L25-K25)*24,""),"")</f>
        <v>2.0</v>
      </c>
      <c r="O25" s="45">
        <v>2</v>
      </c>
      <c r="P25" s="46">
        <f>IF(S25="Sì",0,IF(ISNUMBER(O25),O25,IF(ISNUMBER(N25),N25,"")))</f>
        <v>2.0</v>
      </c>
      <c r="Q25" s="47">
        <f>IF(AND(ISNUMBER(O25),ISNUMBER(N25)),O25-N25,"")</f>
        <v>0.0</v>
      </c>
      <c r="R25" s="24"/>
      <c r="S25" s="24"/>
      <c r="T25" s="24" t="s">
        <v>13</v>
      </c>
      <c r="U25" s="48"/>
      <c r="V25" s="49" t="s">
        <v>49</v>
      </c>
      <c r="W25" s="50"/>
    </row>
    <row r="26" spans="1:23" ht="18.2" customHeight="1">
      <c r="A26" s="37">
        <v>1</v>
      </c>
      <c r="B26" s="38" t="s">
        <v>11</v>
      </c>
      <c r="C26" s="38" t="s">
        <v>15</v>
      </c>
      <c r="D26" s="38" t="s">
        <v>8</v>
      </c>
      <c r="E26" s="39">
        <v>46082</v>
      </c>
      <c r="F26" s="40">
        <v>46108</v>
      </c>
      <c r="G26" s="41" t="s">
        <v>53</v>
      </c>
      <c r="H26" s="42" t="s">
        <v>190</v>
      </c>
      <c r="I26" s="43">
        <v>0.375</v>
      </c>
      <c r="J26" s="43">
        <v>0.4583333333333333</v>
      </c>
      <c r="K26" s="43">
        <v>0.375</v>
      </c>
      <c r="L26" s="43">
        <v>0.4583333333333333</v>
      </c>
      <c r="M26" s="44">
        <f>IF(AND(ISNUMBER(I26),ISNUMBER(J26)),IF(J26&gt;I26,(J26-I26)*24,""),"")</f>
        <v>2.0</v>
      </c>
      <c r="N26" s="45">
        <f>IF(AND(ISNUMBER(K26),ISNUMBER(L26)),IF(L26&gt;K26,(L26-K26)*24,""),"")</f>
        <v>2.0</v>
      </c>
      <c r="O26" s="45">
        <v>2</v>
      </c>
      <c r="P26" s="46">
        <f>IF(S26="Sì",0,IF(ISNUMBER(O26),O26,IF(ISNUMBER(N26),N26,"")))</f>
        <v>2.0</v>
      </c>
      <c r="Q26" s="47">
        <f>IF(AND(ISNUMBER(O26),ISNUMBER(N26)),O26-N26,"")</f>
        <v>0.0</v>
      </c>
      <c r="R26" s="24"/>
      <c r="S26" s="24"/>
      <c r="T26" s="24" t="s">
        <v>13</v>
      </c>
      <c r="U26" s="48"/>
      <c r="V26" s="49" t="s">
        <v>49</v>
      </c>
      <c r="W26" s="50"/>
    </row>
    <row r="27" spans="1:23" ht="18.2" customHeight="1">
      <c r="A27" s="37">
        <v>1</v>
      </c>
      <c r="B27" s="38" t="s">
        <v>11</v>
      </c>
      <c r="C27" s="38" t="s">
        <v>15</v>
      </c>
      <c r="D27" s="38" t="s">
        <v>8</v>
      </c>
      <c r="E27" s="39">
        <v>46082</v>
      </c>
      <c r="F27" s="40">
        <v>46111</v>
      </c>
      <c r="G27" s="41" t="s">
        <v>48</v>
      </c>
      <c r="H27" s="42" t="s">
        <v>190</v>
      </c>
      <c r="I27" s="43">
        <v>0.375</v>
      </c>
      <c r="J27" s="43">
        <v>0.4583333333333333</v>
      </c>
      <c r="K27" s="43">
        <v>0.375</v>
      </c>
      <c r="L27" s="43">
        <v>0.4583333333333333</v>
      </c>
      <c r="M27" s="44">
        <f>IF(AND(ISNUMBER(I27),ISNUMBER(J27)),IF(J27&gt;I27,(J27-I27)*24,""),"")</f>
        <v>2.0</v>
      </c>
      <c r="N27" s="45">
        <f>IF(AND(ISNUMBER(K27),ISNUMBER(L27)),IF(L27&gt;K27,(L27-K27)*24,""),"")</f>
        <v>2.0</v>
      </c>
      <c r="O27" s="45">
        <v>2</v>
      </c>
      <c r="P27" s="46">
        <f>IF(S27="Sì",0,IF(ISNUMBER(O27),O27,IF(ISNUMBER(N27),N27,"")))</f>
        <v>2.0</v>
      </c>
      <c r="Q27" s="47">
        <f>IF(AND(ISNUMBER(O27),ISNUMBER(N27)),O27-N27,"")</f>
        <v>0.0</v>
      </c>
      <c r="R27" s="24"/>
      <c r="S27" s="24"/>
      <c r="T27" s="24" t="s">
        <v>13</v>
      </c>
      <c r="U27" s="48"/>
      <c r="V27" s="49" t="s">
        <v>49</v>
      </c>
      <c r="W27" s="50"/>
    </row>
    <row r="28" spans="1:23" ht="18.2" customHeight="1">
      <c r="A28" s="37">
        <v>1</v>
      </c>
      <c r="B28" s="38" t="s">
        <v>11</v>
      </c>
      <c r="C28" s="38" t="s">
        <v>15</v>
      </c>
      <c r="D28" s="38" t="s">
        <v>8</v>
      </c>
      <c r="E28" s="39">
        <v>46082</v>
      </c>
      <c r="F28" s="40">
        <v>46112</v>
      </c>
      <c r="G28" s="41" t="s">
        <v>50</v>
      </c>
      <c r="H28" s="42" t="s">
        <v>190</v>
      </c>
      <c r="I28" s="43">
        <v>0.375</v>
      </c>
      <c r="J28" s="43">
        <v>0.4583333333333333</v>
      </c>
      <c r="K28" s="43">
        <v>0.375</v>
      </c>
      <c r="L28" s="43">
        <v>0.4583333333333333</v>
      </c>
      <c r="M28" s="44">
        <f>IF(AND(ISNUMBER(I28),ISNUMBER(J28)),IF(J28&gt;I28,(J28-I28)*24,""),"")</f>
        <v>2.0</v>
      </c>
      <c r="N28" s="45">
        <f>IF(AND(ISNUMBER(K28),ISNUMBER(L28)),IF(L28&gt;K28,(L28-K28)*24,""),"")</f>
        <v>2.0</v>
      </c>
      <c r="O28" s="45">
        <v>2</v>
      </c>
      <c r="P28" s="46">
        <f>IF(S28="Sì",0,IF(ISNUMBER(O28),O28,IF(ISNUMBER(N28),N28,"")))</f>
        <v>2.0</v>
      </c>
      <c r="Q28" s="47">
        <f>IF(AND(ISNUMBER(O28),ISNUMBER(N28)),O28-N28,"")</f>
        <v>0.0</v>
      </c>
      <c r="R28" s="24"/>
      <c r="S28" s="24"/>
      <c r="T28" s="24" t="s">
        <v>13</v>
      </c>
      <c r="U28" s="48"/>
      <c r="V28" s="49" t="s">
        <v>49</v>
      </c>
      <c r="W28" s="50"/>
    </row>
    <row r="29" spans="1:23" ht="18.2" customHeight="1">
      <c r="A29" s="37">
        <v>2</v>
      </c>
      <c r="B29" s="38" t="s">
        <v>106</v>
      </c>
      <c r="C29" s="38" t="s">
        <v>108</v>
      </c>
      <c r="D29" s="38" t="s">
        <v>105</v>
      </c>
      <c r="E29" s="39">
        <v>46054</v>
      </c>
      <c r="F29" s="40">
        <v>46055</v>
      </c>
      <c r="G29" s="41" t="s">
        <v>48</v>
      </c>
      <c r="H29" s="42" t="s">
        <v>190</v>
      </c>
      <c r="I29" s="43">
        <v>0.4583333333333333</v>
      </c>
      <c r="J29" s="43">
        <v>0.5833333333333334</v>
      </c>
      <c r="K29" s="43">
        <v>0.4583333333333333</v>
      </c>
      <c r="L29" s="43">
        <v>0.5833333333333334</v>
      </c>
      <c r="M29" s="44">
        <f>IF(AND(ISNUMBER(I29),ISNUMBER(J29)),IF(J29&gt;I29,(J29-I29)*24,""),"")</f>
        <v>3.0</v>
      </c>
      <c r="N29" s="45">
        <f>IF(AND(ISNUMBER(K29),ISNUMBER(L29)),IF(L29&gt;K29,(L29-K29)*24,""),"")</f>
        <v>3.0</v>
      </c>
      <c r="O29" s="45">
        <v>3</v>
      </c>
      <c r="P29" s="46">
        <f>IF(S29="Sì",0,IF(ISNUMBER(O29),O29,IF(ISNUMBER(N29),N29,"")))</f>
        <v>3.0</v>
      </c>
      <c r="Q29" s="47">
        <f>IF(AND(ISNUMBER(O29),ISNUMBER(N29)),O29-N29,"")</f>
        <v>0.0</v>
      </c>
      <c r="R29" s="24"/>
      <c r="S29" s="24"/>
      <c r="T29" s="24" t="s">
        <v>13</v>
      </c>
      <c r="U29" s="48"/>
      <c r="V29" s="49" t="s">
        <v>49</v>
      </c>
      <c r="W29" s="50"/>
    </row>
    <row r="30" spans="1:23" ht="18.2" customHeight="1">
      <c r="A30" s="37">
        <v>2</v>
      </c>
      <c r="B30" s="38" t="s">
        <v>106</v>
      </c>
      <c r="C30" s="38" t="s">
        <v>108</v>
      </c>
      <c r="D30" s="38" t="s">
        <v>105</v>
      </c>
      <c r="E30" s="39">
        <v>46054</v>
      </c>
      <c r="F30" s="40">
        <v>46056</v>
      </c>
      <c r="G30" s="41" t="s">
        <v>50</v>
      </c>
      <c r="H30" s="42" t="s">
        <v>190</v>
      </c>
      <c r="I30" s="43">
        <v>0.4583333333333333</v>
      </c>
      <c r="J30" s="43">
        <v>0.5833333333333334</v>
      </c>
      <c r="K30" s="43">
        <v>0.4583333333333333</v>
      </c>
      <c r="L30" s="43">
        <v>0.5833333333333334</v>
      </c>
      <c r="M30" s="44">
        <f>IF(AND(ISNUMBER(I30),ISNUMBER(J30)),IF(J30&gt;I30,(J30-I30)*24,""),"")</f>
        <v>3.0</v>
      </c>
      <c r="N30" s="45">
        <f>IF(AND(ISNUMBER(K30),ISNUMBER(L30)),IF(L30&gt;K30,(L30-K30)*24,""),"")</f>
        <v>3.0</v>
      </c>
      <c r="O30" s="45">
        <v>3</v>
      </c>
      <c r="P30" s="46">
        <f>IF(S30="Sì",0,IF(ISNUMBER(O30),O30,IF(ISNUMBER(N30),N30,"")))</f>
        <v>3.0</v>
      </c>
      <c r="Q30" s="47">
        <f>IF(AND(ISNUMBER(O30),ISNUMBER(N30)),O30-N30,"")</f>
        <v>0.0</v>
      </c>
      <c r="R30" s="24"/>
      <c r="S30" s="24"/>
      <c r="T30" s="24" t="s">
        <v>13</v>
      </c>
      <c r="U30" s="48"/>
      <c r="V30" s="49" t="s">
        <v>49</v>
      </c>
      <c r="W30" s="50"/>
    </row>
    <row r="31" spans="1:23" ht="18.2" customHeight="1">
      <c r="A31" s="37">
        <v>2</v>
      </c>
      <c r="B31" s="38" t="s">
        <v>106</v>
      </c>
      <c r="C31" s="38" t="s">
        <v>108</v>
      </c>
      <c r="D31" s="38" t="s">
        <v>105</v>
      </c>
      <c r="E31" s="39">
        <v>46054</v>
      </c>
      <c r="F31" s="40">
        <v>46058</v>
      </c>
      <c r="G31" s="41" t="s">
        <v>52</v>
      </c>
      <c r="H31" s="42" t="s">
        <v>190</v>
      </c>
      <c r="I31" s="43">
        <v>0.4583333333333333</v>
      </c>
      <c r="J31" s="43">
        <v>0.5833333333333334</v>
      </c>
      <c r="K31" s="66">
        <v>0.4583333333333333</v>
      </c>
      <c r="L31" s="43">
        <v>0.5833333333333334</v>
      </c>
      <c r="M31" s="44">
        <f>IF(AND(ISNUMBER(I31),ISNUMBER(J31)),IF(J31&gt;I31,(J31-I31)*24,""),"")</f>
        <v>3.0</v>
      </c>
      <c r="N31" s="45">
        <f>IF(AND(ISNUMBER(K31),ISNUMBER(L31)),IF(L31&gt;K31,(L31-K31)*24,""),"")</f>
        <v>3.0</v>
      </c>
      <c r="O31" s="45">
        <v>3</v>
      </c>
      <c r="P31" s="46">
        <f>IF(S31="Sì",0,IF(ISNUMBER(O31),O31,IF(ISNUMBER(N31),N31,"")))</f>
        <v>3.0</v>
      </c>
      <c r="Q31" s="47">
        <f>IF(AND(ISNUMBER(O31),ISNUMBER(N31)),O31-N31,"")</f>
        <v>0.0</v>
      </c>
      <c r="R31" s="24"/>
      <c r="S31" s="24"/>
      <c r="T31" s="24" t="s">
        <v>13</v>
      </c>
      <c r="U31" s="48"/>
      <c r="V31" s="49" t="s">
        <v>49</v>
      </c>
      <c r="W31" s="50"/>
    </row>
    <row r="32" spans="1:23" ht="18.2" customHeight="1">
      <c r="A32" s="37">
        <v>2</v>
      </c>
      <c r="B32" s="38" t="s">
        <v>106</v>
      </c>
      <c r="C32" s="38" t="s">
        <v>108</v>
      </c>
      <c r="D32" s="38" t="s">
        <v>105</v>
      </c>
      <c r="E32" s="39">
        <v>46054</v>
      </c>
      <c r="F32" s="40">
        <v>46059</v>
      </c>
      <c r="G32" s="41" t="s">
        <v>53</v>
      </c>
      <c r="H32" s="42" t="s">
        <v>190</v>
      </c>
      <c r="I32" s="43">
        <v>0.4583333333333333</v>
      </c>
      <c r="J32" s="43">
        <v>0.5833333333333334</v>
      </c>
      <c r="K32" s="43">
        <v>0.4583333333333333</v>
      </c>
      <c r="L32" s="43">
        <v>0.5833333333333334</v>
      </c>
      <c r="M32" s="44">
        <f>IF(AND(ISNUMBER(I32),ISNUMBER(J32)),IF(J32&gt;I32,(J32-I32)*24,""),"")</f>
        <v>3.0</v>
      </c>
      <c r="N32" s="45">
        <f>IF(AND(ISNUMBER(K32),ISNUMBER(L32)),IF(L32&gt;K32,(L32-K32)*24,""),"")</f>
        <v>3.0</v>
      </c>
      <c r="O32" s="45">
        <v>3</v>
      </c>
      <c r="P32" s="46">
        <f>IF(S32="Sì",0,IF(ISNUMBER(O32),O32,IF(ISNUMBER(N32),N32,"")))</f>
        <v>3.0</v>
      </c>
      <c r="Q32" s="47">
        <f>IF(AND(ISNUMBER(O32),ISNUMBER(N32)),O32-N32,"")</f>
        <v>0.0</v>
      </c>
      <c r="R32" s="24"/>
      <c r="S32" s="24"/>
      <c r="T32" s="24" t="s">
        <v>13</v>
      </c>
      <c r="U32" s="48"/>
      <c r="V32" s="49" t="s">
        <v>49</v>
      </c>
      <c r="W32" s="50"/>
    </row>
    <row r="33" spans="1:23" ht="18.2" customHeight="1">
      <c r="A33" s="37">
        <v>2</v>
      </c>
      <c r="B33" s="38" t="s">
        <v>106</v>
      </c>
      <c r="C33" s="38" t="s">
        <v>108</v>
      </c>
      <c r="D33" s="38" t="s">
        <v>105</v>
      </c>
      <c r="E33" s="39">
        <v>46054</v>
      </c>
      <c r="F33" s="40">
        <v>46062</v>
      </c>
      <c r="G33" s="41" t="s">
        <v>48</v>
      </c>
      <c r="H33" s="42" t="s">
        <v>190</v>
      </c>
      <c r="I33" s="43">
        <v>0.4583333333333333</v>
      </c>
      <c r="J33" s="43">
        <v>0.5833333333333334</v>
      </c>
      <c r="K33" s="43">
        <v>0.4583333333333333</v>
      </c>
      <c r="L33" s="43">
        <v>0.5833333333333334</v>
      </c>
      <c r="M33" s="44">
        <f>IF(AND(ISNUMBER(I33),ISNUMBER(J33)),IF(J33&gt;I33,(J33-I33)*24,""),"")</f>
        <v>3.0</v>
      </c>
      <c r="N33" s="45">
        <f>IF(AND(ISNUMBER(K33),ISNUMBER(L33)),IF(L33&gt;K33,(L33-K33)*24,""),"")</f>
        <v>3.0</v>
      </c>
      <c r="O33" s="45">
        <v>3</v>
      </c>
      <c r="P33" s="46">
        <f>IF(S33="Sì",0,IF(ISNUMBER(O33),O33,IF(ISNUMBER(N33),N33,"")))</f>
        <v>3.0</v>
      </c>
      <c r="Q33" s="47">
        <f>IF(AND(ISNUMBER(O33),ISNUMBER(N33)),O33-N33,"")</f>
        <v>0.0</v>
      </c>
      <c r="R33" s="24"/>
      <c r="S33" s="24"/>
      <c r="T33" s="24" t="s">
        <v>13</v>
      </c>
      <c r="U33" s="48"/>
      <c r="V33" s="49" t="s">
        <v>49</v>
      </c>
      <c r="W33" s="50"/>
    </row>
    <row r="34" spans="1:23" ht="31.4" customHeight="1">
      <c r="A34" s="37">
        <v>2</v>
      </c>
      <c r="B34" s="38" t="s">
        <v>106</v>
      </c>
      <c r="C34" s="38" t="s">
        <v>108</v>
      </c>
      <c r="D34" s="38" t="s">
        <v>105</v>
      </c>
      <c r="E34" s="39">
        <v>46054</v>
      </c>
      <c r="F34" s="40">
        <v>46063</v>
      </c>
      <c r="G34" s="41" t="s">
        <v>50</v>
      </c>
      <c r="H34" s="42" t="s">
        <v>190</v>
      </c>
      <c r="I34" s="43">
        <v>0.4583333333333333</v>
      </c>
      <c r="J34" s="43">
        <v>0.5833333333333334</v>
      </c>
      <c r="K34" s="24"/>
      <c r="L34" s="24"/>
      <c r="M34" s="44">
        <f>IF(AND(ISNUMBER(I34),ISNUMBER(J34)),IF(J34&gt;I34,(J34-I34)*24,""),"")</f>
        <v>3.0</v>
      </c>
      <c r="N34" s="45">
        <f>IF(AND(ISNUMBER(K34),ISNUMBER(L34)),IF(L34&gt;K34,(L34-K34)*24,""),"")</f>
        <v/>
      </c>
      <c r="O34" s="24"/>
      <c r="P34" s="46">
        <f>IF(S34="Sì",0,IF(ISNUMBER(O34),O34,IF(ISNUMBER(N34),N34,"")))</f>
        <v>0.0</v>
      </c>
      <c r="Q34" s="47">
        <f>IF(AND(ISNUMBER(O34),ISNUMBER(N34)),O34-N34,"")</f>
        <v/>
      </c>
      <c r="R34" s="24"/>
      <c r="S34" s="24" t="s">
        <v>13</v>
      </c>
      <c r="T34" s="24"/>
      <c r="U34" s="48" t="s">
        <v>113</v>
      </c>
      <c r="V34" s="49" t="s">
        <v>34</v>
      </c>
      <c r="W34" s="50" t="s">
        <v>194</v>
      </c>
    </row>
    <row r="35" spans="1:23" ht="18.2" customHeight="1">
      <c r="A35" s="37">
        <v>2</v>
      </c>
      <c r="B35" s="38" t="s">
        <v>106</v>
      </c>
      <c r="C35" s="38" t="s">
        <v>108</v>
      </c>
      <c r="D35" s="38" t="s">
        <v>105</v>
      </c>
      <c r="E35" s="39">
        <v>46054</v>
      </c>
      <c r="F35" s="40">
        <v>46065</v>
      </c>
      <c r="G35" s="41" t="s">
        <v>52</v>
      </c>
      <c r="H35" s="42" t="s">
        <v>190</v>
      </c>
      <c r="I35" s="43">
        <v>0.4583333333333333</v>
      </c>
      <c r="J35" s="43">
        <v>0.5833333333333334</v>
      </c>
      <c r="K35" s="43">
        <v>0.4583333333333333</v>
      </c>
      <c r="L35" s="43">
        <v>0.5833333333333334</v>
      </c>
      <c r="M35" s="44">
        <f>IF(AND(ISNUMBER(I35),ISNUMBER(J35)),IF(J35&gt;I35,(J35-I35)*24,""),"")</f>
        <v>3.0</v>
      </c>
      <c r="N35" s="45">
        <f>IF(AND(ISNUMBER(K35),ISNUMBER(L35)),IF(L35&gt;K35,(L35-K35)*24,""),"")</f>
        <v>3.0</v>
      </c>
      <c r="O35" s="45">
        <v>3</v>
      </c>
      <c r="P35" s="46">
        <f>IF(S35="Sì",0,IF(ISNUMBER(O35),O35,IF(ISNUMBER(N35),N35,"")))</f>
        <v>3.0</v>
      </c>
      <c r="Q35" s="47">
        <f>IF(AND(ISNUMBER(O35),ISNUMBER(N35)),O35-N35,"")</f>
        <v>0.0</v>
      </c>
      <c r="R35" s="24"/>
      <c r="S35" s="24"/>
      <c r="T35" s="24" t="s">
        <v>13</v>
      </c>
      <c r="U35" s="48"/>
      <c r="V35" s="49" t="s">
        <v>49</v>
      </c>
      <c r="W35" s="50"/>
    </row>
    <row r="36" spans="1:23" ht="18.2" customHeight="1">
      <c r="A36" s="37">
        <v>2</v>
      </c>
      <c r="B36" s="38" t="s">
        <v>106</v>
      </c>
      <c r="C36" s="38" t="s">
        <v>108</v>
      </c>
      <c r="D36" s="38" t="s">
        <v>105</v>
      </c>
      <c r="E36" s="39">
        <v>46054</v>
      </c>
      <c r="F36" s="40">
        <v>46066</v>
      </c>
      <c r="G36" s="41" t="s">
        <v>53</v>
      </c>
      <c r="H36" s="42" t="s">
        <v>190</v>
      </c>
      <c r="I36" s="43">
        <v>0.4583333333333333</v>
      </c>
      <c r="J36" s="43">
        <v>0.5833333333333334</v>
      </c>
      <c r="K36" s="43">
        <v>0.4583333333333333</v>
      </c>
      <c r="L36" s="43">
        <v>0.5833333333333334</v>
      </c>
      <c r="M36" s="44">
        <f>IF(AND(ISNUMBER(I36),ISNUMBER(J36)),IF(J36&gt;I36,(J36-I36)*24,""),"")</f>
        <v>3.0</v>
      </c>
      <c r="N36" s="45">
        <f>IF(AND(ISNUMBER(K36),ISNUMBER(L36)),IF(L36&gt;K36,(L36-K36)*24,""),"")</f>
        <v>3.0</v>
      </c>
      <c r="O36" s="45">
        <v>3</v>
      </c>
      <c r="P36" s="46">
        <f>IF(S36="Sì",0,IF(ISNUMBER(O36),O36,IF(ISNUMBER(N36),N36,"")))</f>
        <v>3.0</v>
      </c>
      <c r="Q36" s="47">
        <f>IF(AND(ISNUMBER(O36),ISNUMBER(N36)),O36-N36,"")</f>
        <v>0.0</v>
      </c>
      <c r="R36" s="24"/>
      <c r="S36" s="24"/>
      <c r="T36" s="24" t="s">
        <v>13</v>
      </c>
      <c r="U36" s="48"/>
      <c r="V36" s="49" t="s">
        <v>49</v>
      </c>
      <c r="W36" s="50"/>
    </row>
    <row r="37" spans="1:23" ht="18.2" customHeight="1">
      <c r="A37" s="37">
        <v>2</v>
      </c>
      <c r="B37" s="38" t="s">
        <v>106</v>
      </c>
      <c r="C37" s="38" t="s">
        <v>108</v>
      </c>
      <c r="D37" s="38" t="s">
        <v>105</v>
      </c>
      <c r="E37" s="39">
        <v>46054</v>
      </c>
      <c r="F37" s="40">
        <v>46069</v>
      </c>
      <c r="G37" s="41" t="s">
        <v>48</v>
      </c>
      <c r="H37" s="42" t="s">
        <v>190</v>
      </c>
      <c r="I37" s="43">
        <v>0.4583333333333333</v>
      </c>
      <c r="J37" s="43">
        <v>0.5833333333333334</v>
      </c>
      <c r="K37" s="43">
        <v>0.4583333333333333</v>
      </c>
      <c r="L37" s="43">
        <v>0.5833333333333334</v>
      </c>
      <c r="M37" s="44">
        <f>IF(AND(ISNUMBER(I37),ISNUMBER(J37)),IF(J37&gt;I37,(J37-I37)*24,""),"")</f>
        <v>3.0</v>
      </c>
      <c r="N37" s="45">
        <f>IF(AND(ISNUMBER(K37),ISNUMBER(L37)),IF(L37&gt;K37,(L37-K37)*24,""),"")</f>
        <v>3.0</v>
      </c>
      <c r="O37" s="45">
        <v>3</v>
      </c>
      <c r="P37" s="46">
        <f>IF(S37="Sì",0,IF(ISNUMBER(O37),O37,IF(ISNUMBER(N37),N37,"")))</f>
        <v>3.0</v>
      </c>
      <c r="Q37" s="47">
        <f>IF(AND(ISNUMBER(O37),ISNUMBER(N37)),O37-N37,"")</f>
        <v>0.0</v>
      </c>
      <c r="R37" s="24"/>
      <c r="S37" s="24"/>
      <c r="T37" s="24" t="s">
        <v>13</v>
      </c>
      <c r="U37" s="48"/>
      <c r="V37" s="49" t="s">
        <v>49</v>
      </c>
      <c r="W37" s="50"/>
    </row>
    <row r="38" spans="1:23" ht="18.2" customHeight="1">
      <c r="A38" s="37">
        <v>2</v>
      </c>
      <c r="B38" s="38" t="s">
        <v>106</v>
      </c>
      <c r="C38" s="38" t="s">
        <v>108</v>
      </c>
      <c r="D38" s="38" t="s">
        <v>105</v>
      </c>
      <c r="E38" s="39">
        <v>46054</v>
      </c>
      <c r="F38" s="40">
        <v>46070</v>
      </c>
      <c r="G38" s="41" t="s">
        <v>50</v>
      </c>
      <c r="H38" s="42" t="s">
        <v>190</v>
      </c>
      <c r="I38" s="43">
        <v>0.4583333333333333</v>
      </c>
      <c r="J38" s="43">
        <v>0.5833333333333334</v>
      </c>
      <c r="K38" s="43">
        <v>0.4583333333333333</v>
      </c>
      <c r="L38" s="43">
        <v>0.5833333333333334</v>
      </c>
      <c r="M38" s="44">
        <f>IF(AND(ISNUMBER(I38),ISNUMBER(J38)),IF(J38&gt;I38,(J38-I38)*24,""),"")</f>
        <v>3.0</v>
      </c>
      <c r="N38" s="45">
        <f>IF(AND(ISNUMBER(K38),ISNUMBER(L38)),IF(L38&gt;K38,(L38-K38)*24,""),"")</f>
        <v>3.0</v>
      </c>
      <c r="O38" s="45">
        <v>3</v>
      </c>
      <c r="P38" s="46">
        <f>IF(S38="Sì",0,IF(ISNUMBER(O38),O38,IF(ISNUMBER(N38),N38,"")))</f>
        <v>3.0</v>
      </c>
      <c r="Q38" s="47">
        <f>IF(AND(ISNUMBER(O38),ISNUMBER(N38)),O38-N38,"")</f>
        <v>0.0</v>
      </c>
      <c r="R38" s="24"/>
      <c r="S38" s="24"/>
      <c r="T38" s="24" t="s">
        <v>13</v>
      </c>
      <c r="U38" s="48"/>
      <c r="V38" s="49" t="s">
        <v>49</v>
      </c>
      <c r="W38" s="50"/>
    </row>
    <row r="39" spans="1:23" ht="18.2" customHeight="1">
      <c r="A39" s="37">
        <v>2</v>
      </c>
      <c r="B39" s="38" t="s">
        <v>106</v>
      </c>
      <c r="C39" s="38" t="s">
        <v>108</v>
      </c>
      <c r="D39" s="38" t="s">
        <v>105</v>
      </c>
      <c r="E39" s="39">
        <v>46054</v>
      </c>
      <c r="F39" s="40">
        <v>46072</v>
      </c>
      <c r="G39" s="41" t="s">
        <v>52</v>
      </c>
      <c r="H39" s="42" t="s">
        <v>190</v>
      </c>
      <c r="I39" s="43">
        <v>0.4583333333333333</v>
      </c>
      <c r="J39" s="43">
        <v>0.5833333333333334</v>
      </c>
      <c r="K39" s="43">
        <v>0.4583333333333333</v>
      </c>
      <c r="L39" s="43">
        <v>0.5833333333333334</v>
      </c>
      <c r="M39" s="44">
        <f>IF(AND(ISNUMBER(I39),ISNUMBER(J39)),IF(J39&gt;I39,(J39-I39)*24,""),"")</f>
        <v>3.0</v>
      </c>
      <c r="N39" s="45">
        <f>IF(AND(ISNUMBER(K39),ISNUMBER(L39)),IF(L39&gt;K39,(L39-K39)*24,""),"")</f>
        <v>3.0</v>
      </c>
      <c r="O39" s="45">
        <v>3</v>
      </c>
      <c r="P39" s="46">
        <f>IF(S39="Sì",0,IF(ISNUMBER(O39),O39,IF(ISNUMBER(N39),N39,"")))</f>
        <v>3.0</v>
      </c>
      <c r="Q39" s="47">
        <f>IF(AND(ISNUMBER(O39),ISNUMBER(N39)),O39-N39,"")</f>
        <v>0.0</v>
      </c>
      <c r="R39" s="24"/>
      <c r="S39" s="24"/>
      <c r="T39" s="24" t="s">
        <v>13</v>
      </c>
      <c r="U39" s="48"/>
      <c r="V39" s="49" t="s">
        <v>49</v>
      </c>
      <c r="W39" s="50"/>
    </row>
    <row r="40" spans="1:23" ht="18.2" customHeight="1">
      <c r="A40" s="37">
        <v>2</v>
      </c>
      <c r="B40" s="38" t="s">
        <v>106</v>
      </c>
      <c r="C40" s="38" t="s">
        <v>108</v>
      </c>
      <c r="D40" s="38" t="s">
        <v>105</v>
      </c>
      <c r="E40" s="39">
        <v>46054</v>
      </c>
      <c r="F40" s="40">
        <v>46073</v>
      </c>
      <c r="G40" s="41" t="s">
        <v>53</v>
      </c>
      <c r="H40" s="42" t="s">
        <v>190</v>
      </c>
      <c r="I40" s="43">
        <v>0.4583333333333333</v>
      </c>
      <c r="J40" s="43">
        <v>0.5833333333333334</v>
      </c>
      <c r="K40" s="43">
        <v>0.4583333333333333</v>
      </c>
      <c r="L40" s="43">
        <v>0.5833333333333334</v>
      </c>
      <c r="M40" s="44">
        <f>IF(AND(ISNUMBER(I40),ISNUMBER(J40)),IF(J40&gt;I40,(J40-I40)*24,""),"")</f>
        <v>3.0</v>
      </c>
      <c r="N40" s="45">
        <f>IF(AND(ISNUMBER(K40),ISNUMBER(L40)),IF(L40&gt;K40,(L40-K40)*24,""),"")</f>
        <v>3.0</v>
      </c>
      <c r="O40" s="45">
        <v>3</v>
      </c>
      <c r="P40" s="46">
        <f>IF(S40="Sì",0,IF(ISNUMBER(O40),O40,IF(ISNUMBER(N40),N40,"")))</f>
        <v>3.0</v>
      </c>
      <c r="Q40" s="47">
        <f>IF(AND(ISNUMBER(O40),ISNUMBER(N40)),O40-N40,"")</f>
        <v>0.0</v>
      </c>
      <c r="R40" s="24"/>
      <c r="S40" s="24"/>
      <c r="T40" s="24" t="s">
        <v>13</v>
      </c>
      <c r="U40" s="48"/>
      <c r="V40" s="49" t="s">
        <v>49</v>
      </c>
      <c r="W40" s="50"/>
    </row>
    <row r="41" spans="1:23" ht="18.2" customHeight="1">
      <c r="A41" s="37">
        <v>2</v>
      </c>
      <c r="B41" s="38" t="s">
        <v>106</v>
      </c>
      <c r="C41" s="38" t="s">
        <v>108</v>
      </c>
      <c r="D41" s="38" t="s">
        <v>105</v>
      </c>
      <c r="E41" s="39">
        <v>46054</v>
      </c>
      <c r="F41" s="40">
        <v>46076</v>
      </c>
      <c r="G41" s="41" t="s">
        <v>48</v>
      </c>
      <c r="H41" s="42" t="s">
        <v>190</v>
      </c>
      <c r="I41" s="43">
        <v>0.4583333333333333</v>
      </c>
      <c r="J41" s="43">
        <v>0.5833333333333334</v>
      </c>
      <c r="K41" s="43">
        <v>0.4583333333333333</v>
      </c>
      <c r="L41" s="43">
        <v>0.5833333333333334</v>
      </c>
      <c r="M41" s="44">
        <f>IF(AND(ISNUMBER(I41),ISNUMBER(J41)),IF(J41&gt;I41,(J41-I41)*24,""),"")</f>
        <v>3.0</v>
      </c>
      <c r="N41" s="45">
        <f>IF(AND(ISNUMBER(K41),ISNUMBER(L41)),IF(L41&gt;K41,(L41-K41)*24,""),"")</f>
        <v>3.0</v>
      </c>
      <c r="O41" s="45">
        <v>3</v>
      </c>
      <c r="P41" s="46">
        <f>IF(S41="Sì",0,IF(ISNUMBER(O41),O41,IF(ISNUMBER(N41),N41,"")))</f>
        <v>3.0</v>
      </c>
      <c r="Q41" s="47">
        <f>IF(AND(ISNUMBER(O41),ISNUMBER(N41)),O41-N41,"")</f>
        <v>0.0</v>
      </c>
      <c r="R41" s="24"/>
      <c r="S41" s="24"/>
      <c r="T41" s="24" t="s">
        <v>13</v>
      </c>
      <c r="U41" s="48"/>
      <c r="V41" s="49" t="s">
        <v>49</v>
      </c>
      <c r="W41" s="50"/>
    </row>
    <row r="42" spans="1:23" ht="18.2" customHeight="1">
      <c r="A42" s="37">
        <v>2</v>
      </c>
      <c r="B42" s="38" t="s">
        <v>106</v>
      </c>
      <c r="C42" s="38" t="s">
        <v>108</v>
      </c>
      <c r="D42" s="38" t="s">
        <v>105</v>
      </c>
      <c r="E42" s="39">
        <v>46054</v>
      </c>
      <c r="F42" s="40">
        <v>46077</v>
      </c>
      <c r="G42" s="41" t="s">
        <v>50</v>
      </c>
      <c r="H42" s="42" t="s">
        <v>190</v>
      </c>
      <c r="I42" s="43">
        <v>0.4583333333333333</v>
      </c>
      <c r="J42" s="43">
        <v>0.5833333333333334</v>
      </c>
      <c r="K42" s="43">
        <v>0.4583333333333333</v>
      </c>
      <c r="L42" s="43">
        <v>0.5833333333333334</v>
      </c>
      <c r="M42" s="44">
        <f>IF(AND(ISNUMBER(I42),ISNUMBER(J42)),IF(J42&gt;I42,(J42-I42)*24,""),"")</f>
        <v>3.0</v>
      </c>
      <c r="N42" s="45">
        <f>IF(AND(ISNUMBER(K42),ISNUMBER(L42)),IF(L42&gt;K42,(L42-K42)*24,""),"")</f>
        <v>3.0</v>
      </c>
      <c r="O42" s="45">
        <v>3</v>
      </c>
      <c r="P42" s="46">
        <f>IF(S42="Sì",0,IF(ISNUMBER(O42),O42,IF(ISNUMBER(N42),N42,"")))</f>
        <v>3.0</v>
      </c>
      <c r="Q42" s="47">
        <f>IF(AND(ISNUMBER(O42),ISNUMBER(N42)),O42-N42,"")</f>
        <v>0.0</v>
      </c>
      <c r="R42" s="24"/>
      <c r="S42" s="24"/>
      <c r="T42" s="24" t="s">
        <v>13</v>
      </c>
      <c r="U42" s="48"/>
      <c r="V42" s="49" t="s">
        <v>49</v>
      </c>
      <c r="W42" s="50"/>
    </row>
    <row r="43" spans="1:23" ht="18.2" customHeight="1">
      <c r="A43" s="37">
        <v>2</v>
      </c>
      <c r="B43" s="38" t="s">
        <v>106</v>
      </c>
      <c r="C43" s="38" t="s">
        <v>108</v>
      </c>
      <c r="D43" s="38" t="s">
        <v>105</v>
      </c>
      <c r="E43" s="39">
        <v>46054</v>
      </c>
      <c r="F43" s="40">
        <v>46079</v>
      </c>
      <c r="G43" s="41" t="s">
        <v>52</v>
      </c>
      <c r="H43" s="42" t="s">
        <v>190</v>
      </c>
      <c r="I43" s="43">
        <v>0.4583333333333333</v>
      </c>
      <c r="J43" s="43">
        <v>0.5833333333333334</v>
      </c>
      <c r="K43" s="43">
        <v>0.4583333333333333</v>
      </c>
      <c r="L43" s="43">
        <v>0.5833333333333334</v>
      </c>
      <c r="M43" s="44">
        <f>IF(AND(ISNUMBER(I43),ISNUMBER(J43)),IF(J43&gt;I43,(J43-I43)*24,""),"")</f>
        <v>3.0</v>
      </c>
      <c r="N43" s="45">
        <f>IF(AND(ISNUMBER(K43),ISNUMBER(L43)),IF(L43&gt;K43,(L43-K43)*24,""),"")</f>
        <v>3.0</v>
      </c>
      <c r="O43" s="45">
        <v>3</v>
      </c>
      <c r="P43" s="46">
        <f>IF(S43="Sì",0,IF(ISNUMBER(O43),O43,IF(ISNUMBER(N43),N43,"")))</f>
        <v>3.0</v>
      </c>
      <c r="Q43" s="47">
        <f>IF(AND(ISNUMBER(O43),ISNUMBER(N43)),O43-N43,"")</f>
        <v>0.0</v>
      </c>
      <c r="R43" s="24"/>
      <c r="S43" s="24"/>
      <c r="T43" s="24" t="s">
        <v>13</v>
      </c>
      <c r="U43" s="48"/>
      <c r="V43" s="49" t="s">
        <v>49</v>
      </c>
      <c r="W43" s="50"/>
    </row>
    <row r="44" spans="1:23" ht="18.2" customHeight="1">
      <c r="A44" s="37">
        <v>2</v>
      </c>
      <c r="B44" s="38" t="s">
        <v>106</v>
      </c>
      <c r="C44" s="38" t="s">
        <v>108</v>
      </c>
      <c r="D44" s="38" t="s">
        <v>105</v>
      </c>
      <c r="E44" s="39">
        <v>46054</v>
      </c>
      <c r="F44" s="40">
        <v>46080</v>
      </c>
      <c r="G44" s="41" t="s">
        <v>53</v>
      </c>
      <c r="H44" s="42" t="s">
        <v>190</v>
      </c>
      <c r="I44" s="43">
        <v>0.4583333333333333</v>
      </c>
      <c r="J44" s="43">
        <v>0.5833333333333334</v>
      </c>
      <c r="K44" s="43">
        <v>0.4583333333333333</v>
      </c>
      <c r="L44" s="43">
        <v>0.5833333333333334</v>
      </c>
      <c r="M44" s="44">
        <f>IF(AND(ISNUMBER(I44),ISNUMBER(J44)),IF(J44&gt;I44,(J44-I44)*24,""),"")</f>
        <v>3.0</v>
      </c>
      <c r="N44" s="45">
        <f>IF(AND(ISNUMBER(K44),ISNUMBER(L44)),IF(L44&gt;K44,(L44-K44)*24,""),"")</f>
        <v>3.0</v>
      </c>
      <c r="O44" s="45">
        <v>3</v>
      </c>
      <c r="P44" s="46">
        <f>IF(S44="Sì",0,IF(ISNUMBER(O44),O44,IF(ISNUMBER(N44),N44,"")))</f>
        <v>3.0</v>
      </c>
      <c r="Q44" s="47">
        <f>IF(AND(ISNUMBER(O44),ISNUMBER(N44)),O44-N44,"")</f>
        <v>0.0</v>
      </c>
      <c r="R44" s="24"/>
      <c r="S44" s="24"/>
      <c r="T44" s="24" t="s">
        <v>13</v>
      </c>
      <c r="U44" s="48"/>
      <c r="V44" s="49" t="s">
        <v>49</v>
      </c>
      <c r="W44" s="50"/>
    </row>
    <row r="45" spans="1:23" ht="18.2" customHeight="1">
      <c r="A45" s="37">
        <v>3</v>
      </c>
      <c r="B45" s="38" t="s">
        <v>126</v>
      </c>
      <c r="C45" s="67" t="s">
        <v>127</v>
      </c>
      <c r="D45" s="38" t="s">
        <v>8</v>
      </c>
      <c r="E45" s="39">
        <v>46054</v>
      </c>
      <c r="F45" s="40">
        <v>46055</v>
      </c>
      <c r="G45" s="41" t="s">
        <v>48</v>
      </c>
      <c r="H45" s="42" t="s">
        <v>190</v>
      </c>
      <c r="I45" s="43">
        <v>0.3333333333333333</v>
      </c>
      <c r="J45" s="43">
        <v>0.4583333333333333</v>
      </c>
      <c r="K45" s="43">
        <v>0.3333333333333333</v>
      </c>
      <c r="L45" s="43">
        <v>0.4583333333333333</v>
      </c>
      <c r="M45" s="44">
        <f>IF(AND(ISNUMBER(I45),ISNUMBER(J45)),IF(J45&gt;I45,(J45-I45)*24,""),"")</f>
        <v>3.0</v>
      </c>
      <c r="N45" s="45">
        <f>IF(AND(ISNUMBER(K45),ISNUMBER(L45)),IF(L45&gt;K45,(L45-K45)*24,""),"")</f>
        <v>3.0</v>
      </c>
      <c r="O45" s="45">
        <v>3</v>
      </c>
      <c r="P45" s="46">
        <f>IF(S45="Sì",0,IF(ISNUMBER(O45),O45,IF(ISNUMBER(N45),N45,"")))</f>
        <v>3.0</v>
      </c>
      <c r="Q45" s="47">
        <f>IF(AND(ISNUMBER(O45),ISNUMBER(N45)),O45-N45,"")</f>
        <v>0.0</v>
      </c>
      <c r="R45" s="24"/>
      <c r="S45" s="24"/>
      <c r="T45" s="24" t="s">
        <v>13</v>
      </c>
      <c r="U45" s="48"/>
      <c r="V45" s="49" t="s">
        <v>49</v>
      </c>
      <c r="W45" s="50"/>
    </row>
    <row r="46" spans="1:23" ht="18.2" customHeight="1">
      <c r="A46" s="37">
        <v>3</v>
      </c>
      <c r="B46" s="38" t="s">
        <v>126</v>
      </c>
      <c r="C46" s="67" t="s">
        <v>127</v>
      </c>
      <c r="D46" s="38" t="s">
        <v>8</v>
      </c>
      <c r="E46" s="39">
        <v>46054</v>
      </c>
      <c r="F46" s="40">
        <v>46056</v>
      </c>
      <c r="G46" s="41" t="s">
        <v>50</v>
      </c>
      <c r="H46" s="42" t="s">
        <v>190</v>
      </c>
      <c r="I46" s="43">
        <v>0.3333333333333333</v>
      </c>
      <c r="J46" s="43">
        <v>0.4583333333333333</v>
      </c>
      <c r="K46" s="43">
        <v>0.3333333333333333</v>
      </c>
      <c r="L46" s="43">
        <v>0.4583333333333333</v>
      </c>
      <c r="M46" s="44">
        <f>IF(AND(ISNUMBER(I46),ISNUMBER(J46)),IF(J46&gt;I46,(J46-I46)*24,""),"")</f>
        <v>3.0</v>
      </c>
      <c r="N46" s="45">
        <f>IF(AND(ISNUMBER(K46),ISNUMBER(L46)),IF(L46&gt;K46,(L46-K46)*24,""),"")</f>
        <v>3.0</v>
      </c>
      <c r="O46" s="45">
        <v>3</v>
      </c>
      <c r="P46" s="46">
        <f>IF(S46="Sì",0,IF(ISNUMBER(O46),O46,IF(ISNUMBER(N46),N46,"")))</f>
        <v>3.0</v>
      </c>
      <c r="Q46" s="47">
        <f>IF(AND(ISNUMBER(O46),ISNUMBER(N46)),O46-N46,"")</f>
        <v>0.0</v>
      </c>
      <c r="R46" s="24"/>
      <c r="S46" s="24"/>
      <c r="T46" s="24" t="s">
        <v>13</v>
      </c>
      <c r="U46" s="48"/>
      <c r="V46" s="49" t="s">
        <v>49</v>
      </c>
      <c r="W46" s="50"/>
    </row>
    <row r="47" spans="1:23" ht="18.2" customHeight="1">
      <c r="A47" s="37">
        <v>3</v>
      </c>
      <c r="B47" s="38" t="s">
        <v>126</v>
      </c>
      <c r="C47" s="67" t="s">
        <v>127</v>
      </c>
      <c r="D47" s="38" t="s">
        <v>8</v>
      </c>
      <c r="E47" s="39">
        <v>46054</v>
      </c>
      <c r="F47" s="40">
        <v>46057</v>
      </c>
      <c r="G47" s="41" t="s">
        <v>51</v>
      </c>
      <c r="H47" s="42" t="s">
        <v>190</v>
      </c>
      <c r="I47" s="43">
        <v>0.3333333333333333</v>
      </c>
      <c r="J47" s="43">
        <v>0.4583333333333333</v>
      </c>
      <c r="K47" s="68" t="s">
        <v>131</v>
      </c>
      <c r="L47" s="68" t="s">
        <v>131</v>
      </c>
      <c r="M47" s="44">
        <f>IF(AND(ISNUMBER(I47),ISNUMBER(J47)),IF(J47&gt;I47,(J47-I47)*24,""),"")</f>
        <v>3.0</v>
      </c>
      <c r="N47" s="45">
        <f>IF(AND(ISNUMBER(K47),ISNUMBER(L47)),IF(L47&gt;K47,(L47-K47)*24,""),"")</f>
        <v/>
      </c>
      <c r="O47" s="45">
        <v>1.5</v>
      </c>
      <c r="P47" s="46">
        <f>IF(S47="Sì",0,IF(ISNUMBER(O47),O47,IF(ISNUMBER(N47),N47,"")))</f>
        <v>1.5</v>
      </c>
      <c r="Q47" s="47">
        <f>IF(AND(ISNUMBER(O47),ISNUMBER(N47)),O47-N47,"")</f>
        <v/>
      </c>
      <c r="R47" s="24" t="s">
        <v>13</v>
      </c>
      <c r="S47" s="24"/>
      <c r="T47" s="24" t="s">
        <v>13</v>
      </c>
      <c r="U47" s="48"/>
      <c r="V47" s="49" t="s">
        <v>33</v>
      </c>
      <c r="W47" s="50" t="s">
        <v>196</v>
      </c>
    </row>
    <row r="48" spans="1:23" ht="18.2" customHeight="1">
      <c r="A48" s="37">
        <v>3</v>
      </c>
      <c r="B48" s="38" t="s">
        <v>126</v>
      </c>
      <c r="C48" s="67" t="s">
        <v>127</v>
      </c>
      <c r="D48" s="38" t="s">
        <v>8</v>
      </c>
      <c r="E48" s="39">
        <v>46054</v>
      </c>
      <c r="F48" s="40">
        <v>46058</v>
      </c>
      <c r="G48" s="41" t="s">
        <v>52</v>
      </c>
      <c r="H48" s="42" t="s">
        <v>190</v>
      </c>
      <c r="I48" s="43">
        <v>0.3333333333333333</v>
      </c>
      <c r="J48" s="43">
        <v>0.4583333333333333</v>
      </c>
      <c r="K48" s="43">
        <v>0.3333333333333333</v>
      </c>
      <c r="L48" s="43">
        <v>0.4583333333333333</v>
      </c>
      <c r="M48" s="44">
        <f>IF(AND(ISNUMBER(I48),ISNUMBER(J48)),IF(J48&gt;I48,(J48-I48)*24,""),"")</f>
        <v>3.0</v>
      </c>
      <c r="N48" s="45">
        <f>IF(AND(ISNUMBER(K48),ISNUMBER(L48)),IF(L48&gt;K48,(L48-K48)*24,""),"")</f>
        <v>3.0</v>
      </c>
      <c r="O48" s="45">
        <v>3</v>
      </c>
      <c r="P48" s="46">
        <f>IF(S48="Sì",0,IF(ISNUMBER(O48),O48,IF(ISNUMBER(N48),N48,"")))</f>
        <v>3.0</v>
      </c>
      <c r="Q48" s="47">
        <f>IF(AND(ISNUMBER(O48),ISNUMBER(N48)),O48-N48,"")</f>
        <v>0.0</v>
      </c>
      <c r="R48" s="24"/>
      <c r="S48" s="24"/>
      <c r="T48" s="24" t="s">
        <v>13</v>
      </c>
      <c r="U48" s="48"/>
      <c r="V48" s="49" t="s">
        <v>49</v>
      </c>
      <c r="W48" s="50"/>
    </row>
    <row r="49" spans="1:23" ht="18.2" customHeight="1">
      <c r="A49" s="37">
        <v>3</v>
      </c>
      <c r="B49" s="38" t="s">
        <v>126</v>
      </c>
      <c r="C49" s="67" t="s">
        <v>127</v>
      </c>
      <c r="D49" s="38" t="s">
        <v>8</v>
      </c>
      <c r="E49" s="39">
        <v>46054</v>
      </c>
      <c r="F49" s="40">
        <v>46059</v>
      </c>
      <c r="G49" s="41" t="s">
        <v>53</v>
      </c>
      <c r="H49" s="42" t="s">
        <v>190</v>
      </c>
      <c r="I49" s="43">
        <v>0.3333333333333333</v>
      </c>
      <c r="J49" s="43">
        <v>0.4583333333333333</v>
      </c>
      <c r="K49" s="43">
        <v>0.3333333333333333</v>
      </c>
      <c r="L49" s="43">
        <v>0.4583333333333333</v>
      </c>
      <c r="M49" s="44">
        <f>IF(AND(ISNUMBER(I49),ISNUMBER(J49)),IF(J49&gt;I49,(J49-I49)*24,""),"")</f>
        <v>3.0</v>
      </c>
      <c r="N49" s="45">
        <f>IF(AND(ISNUMBER(K49),ISNUMBER(L49)),IF(L49&gt;K49,(L49-K49)*24,""),"")</f>
        <v>3.0</v>
      </c>
      <c r="O49" s="45">
        <v>3</v>
      </c>
      <c r="P49" s="46">
        <f>IF(S49="Sì",0,IF(ISNUMBER(O49),O49,IF(ISNUMBER(N49),N49,"")))</f>
        <v>3.0</v>
      </c>
      <c r="Q49" s="47">
        <f>IF(AND(ISNUMBER(O49),ISNUMBER(N49)),O49-N49,"")</f>
        <v>0.0</v>
      </c>
      <c r="R49" s="24"/>
      <c r="S49" s="24"/>
      <c r="T49" s="24" t="s">
        <v>13</v>
      </c>
      <c r="U49" s="48"/>
      <c r="V49" s="49" t="s">
        <v>49</v>
      </c>
      <c r="W49" s="50"/>
    </row>
    <row r="50" spans="1:23" ht="18.2" customHeight="1">
      <c r="A50" s="37">
        <v>3</v>
      </c>
      <c r="B50" s="38" t="s">
        <v>126</v>
      </c>
      <c r="C50" s="67" t="s">
        <v>127</v>
      </c>
      <c r="D50" s="38" t="s">
        <v>8</v>
      </c>
      <c r="E50" s="39">
        <v>46054</v>
      </c>
      <c r="F50" s="40">
        <v>46062</v>
      </c>
      <c r="G50" s="41" t="s">
        <v>48</v>
      </c>
      <c r="H50" s="42" t="s">
        <v>190</v>
      </c>
      <c r="I50" s="43">
        <v>0.3333333333333333</v>
      </c>
      <c r="J50" s="43">
        <v>0.4583333333333333</v>
      </c>
      <c r="K50" s="43">
        <v>0.3333333333333333</v>
      </c>
      <c r="L50" s="43">
        <v>0.4583333333333333</v>
      </c>
      <c r="M50" s="44">
        <f>IF(AND(ISNUMBER(I50),ISNUMBER(J50)),IF(J50&gt;I50,(J50-I50)*24,""),"")</f>
        <v>3.0</v>
      </c>
      <c r="N50" s="45">
        <f>IF(AND(ISNUMBER(K50),ISNUMBER(L50)),IF(L50&gt;K50,(L50-K50)*24,""),"")</f>
        <v>3.0</v>
      </c>
      <c r="O50" s="45">
        <v>3</v>
      </c>
      <c r="P50" s="46">
        <f>IF(S50="Sì",0,IF(ISNUMBER(O50),O50,IF(ISNUMBER(N50),N50,"")))</f>
        <v>3.0</v>
      </c>
      <c r="Q50" s="47">
        <f>IF(AND(ISNUMBER(O50),ISNUMBER(N50)),O50-N50,"")</f>
        <v>0.0</v>
      </c>
      <c r="R50" s="24"/>
      <c r="S50" s="24"/>
      <c r="T50" s="24" t="s">
        <v>13</v>
      </c>
      <c r="U50" s="48"/>
      <c r="V50" s="49" t="s">
        <v>49</v>
      </c>
      <c r="W50" s="50"/>
    </row>
    <row r="51" spans="1:23" ht="18.2" customHeight="1">
      <c r="A51" s="37">
        <v>3</v>
      </c>
      <c r="B51" s="38" t="s">
        <v>126</v>
      </c>
      <c r="C51" s="67" t="s">
        <v>127</v>
      </c>
      <c r="D51" s="38" t="s">
        <v>8</v>
      </c>
      <c r="E51" s="39">
        <v>46054</v>
      </c>
      <c r="F51" s="40">
        <v>46063</v>
      </c>
      <c r="G51" s="41" t="s">
        <v>50</v>
      </c>
      <c r="H51" s="42" t="s">
        <v>190</v>
      </c>
      <c r="I51" s="43">
        <v>0.3333333333333333</v>
      </c>
      <c r="J51" s="43">
        <v>0.4583333333333333</v>
      </c>
      <c r="K51" s="43">
        <v>0.3333333333333333</v>
      </c>
      <c r="L51" s="43">
        <v>0.4583333333333333</v>
      </c>
      <c r="M51" s="44">
        <f>IF(AND(ISNUMBER(I51),ISNUMBER(J51)),IF(J51&gt;I51,(J51-I51)*24,""),"")</f>
        <v>3.0</v>
      </c>
      <c r="N51" s="45">
        <f>IF(AND(ISNUMBER(K51),ISNUMBER(L51)),IF(L51&gt;K51,(L51-K51)*24,""),"")</f>
        <v>3.0</v>
      </c>
      <c r="O51" s="45">
        <v>3</v>
      </c>
      <c r="P51" s="46">
        <f>IF(S51="Sì",0,IF(ISNUMBER(O51),O51,IF(ISNUMBER(N51),N51,"")))</f>
        <v>3.0</v>
      </c>
      <c r="Q51" s="47">
        <f>IF(AND(ISNUMBER(O51),ISNUMBER(N51)),O51-N51,"")</f>
        <v>0.0</v>
      </c>
      <c r="R51" s="24"/>
      <c r="S51" s="24"/>
      <c r="T51" s="24" t="s">
        <v>13</v>
      </c>
      <c r="U51" s="48"/>
      <c r="V51" s="49" t="s">
        <v>49</v>
      </c>
      <c r="W51" s="50"/>
    </row>
    <row r="52" spans="1:23" ht="18.2" customHeight="1">
      <c r="A52" s="37">
        <v>3</v>
      </c>
      <c r="B52" s="38" t="s">
        <v>126</v>
      </c>
      <c r="C52" s="67" t="s">
        <v>127</v>
      </c>
      <c r="D52" s="38" t="s">
        <v>8</v>
      </c>
      <c r="E52" s="39">
        <v>46054</v>
      </c>
      <c r="F52" s="40">
        <v>46064</v>
      </c>
      <c r="G52" s="41" t="s">
        <v>51</v>
      </c>
      <c r="H52" s="42" t="s">
        <v>190</v>
      </c>
      <c r="I52" s="43">
        <v>0.3333333333333333</v>
      </c>
      <c r="J52" s="43">
        <v>0.4583333333333333</v>
      </c>
      <c r="K52" s="43">
        <v>0.3333333333333333</v>
      </c>
      <c r="L52" s="43">
        <v>0.4583333333333333</v>
      </c>
      <c r="M52" s="44">
        <f>IF(AND(ISNUMBER(I52),ISNUMBER(J52)),IF(J52&gt;I52,(J52-I52)*24,""),"")</f>
        <v>3.0</v>
      </c>
      <c r="N52" s="45">
        <f>IF(AND(ISNUMBER(K52),ISNUMBER(L52)),IF(L52&gt;K52,(L52-K52)*24,""),"")</f>
        <v>3.0</v>
      </c>
      <c r="O52" s="45">
        <v>3</v>
      </c>
      <c r="P52" s="46">
        <f>IF(S52="Sì",0,IF(ISNUMBER(O52),O52,IF(ISNUMBER(N52),N52,"")))</f>
        <v>3.0</v>
      </c>
      <c r="Q52" s="47">
        <f>IF(AND(ISNUMBER(O52),ISNUMBER(N52)),O52-N52,"")</f>
        <v>0.0</v>
      </c>
      <c r="R52" s="24"/>
      <c r="S52" s="24"/>
      <c r="T52" s="24" t="s">
        <v>13</v>
      </c>
      <c r="U52" s="48"/>
      <c r="V52" s="49" t="s">
        <v>49</v>
      </c>
      <c r="W52" s="50"/>
    </row>
    <row r="53" spans="1:23" ht="18.2" customHeight="1">
      <c r="A53" s="37">
        <v>3</v>
      </c>
      <c r="B53" s="38" t="s">
        <v>126</v>
      </c>
      <c r="C53" s="67" t="s">
        <v>127</v>
      </c>
      <c r="D53" s="38" t="s">
        <v>8</v>
      </c>
      <c r="E53" s="39">
        <v>46054</v>
      </c>
      <c r="F53" s="40">
        <v>46065</v>
      </c>
      <c r="G53" s="41" t="s">
        <v>52</v>
      </c>
      <c r="H53" s="42" t="s">
        <v>190</v>
      </c>
      <c r="I53" s="43">
        <v>0.3333333333333333</v>
      </c>
      <c r="J53" s="43">
        <v>0.4583333333333333</v>
      </c>
      <c r="K53" s="43">
        <v>0.3333333333333333</v>
      </c>
      <c r="L53" s="69" t="s">
        <v>132</v>
      </c>
      <c r="M53" s="44">
        <f>IF(AND(ISNUMBER(I53),ISNUMBER(J53)),IF(J53&gt;I53,(J53-I53)*24,""),"")</f>
        <v>3.0</v>
      </c>
      <c r="N53" s="45">
        <f>IF(AND(ISNUMBER(K53),ISNUMBER(L53)),IF(L53&gt;K53,(L53-K53)*24,""),"")</f>
        <v/>
      </c>
      <c r="O53" s="45">
        <v>3</v>
      </c>
      <c r="P53" s="46">
        <f>IF(S53="Sì",0,IF(ISNUMBER(O53),O53,IF(ISNUMBER(N53),N53,"")))</f>
        <v>3.0</v>
      </c>
      <c r="Q53" s="47">
        <f>IF(AND(ISNUMBER(O53),ISNUMBER(N53)),O53-N53,"")</f>
        <v/>
      </c>
      <c r="R53" s="24"/>
      <c r="S53" s="24"/>
      <c r="T53" s="24" t="s">
        <v>13</v>
      </c>
      <c r="U53" s="48"/>
      <c r="V53" s="49" t="s">
        <v>133</v>
      </c>
      <c r="W53" s="50" t="s">
        <v>197</v>
      </c>
    </row>
    <row r="54" spans="1:23" ht="18.2" customHeight="1">
      <c r="A54" s="37">
        <v>3</v>
      </c>
      <c r="B54" s="38" t="s">
        <v>126</v>
      </c>
      <c r="C54" s="67" t="s">
        <v>127</v>
      </c>
      <c r="D54" s="38" t="s">
        <v>8</v>
      </c>
      <c r="E54" s="39">
        <v>46054</v>
      </c>
      <c r="F54" s="40">
        <v>46066</v>
      </c>
      <c r="G54" s="41" t="s">
        <v>53</v>
      </c>
      <c r="H54" s="42" t="s">
        <v>190</v>
      </c>
      <c r="I54" s="43">
        <v>0.3333333333333333</v>
      </c>
      <c r="J54" s="43">
        <v>0.4583333333333333</v>
      </c>
      <c r="K54" s="43">
        <v>0.3333333333333333</v>
      </c>
      <c r="L54" s="43">
        <v>0.4583333333333333</v>
      </c>
      <c r="M54" s="44">
        <f>IF(AND(ISNUMBER(I54),ISNUMBER(J54)),IF(J54&gt;I54,(J54-I54)*24,""),"")</f>
        <v>3.0</v>
      </c>
      <c r="N54" s="45">
        <f>IF(AND(ISNUMBER(K54),ISNUMBER(L54)),IF(L54&gt;K54,(L54-K54)*24,""),"")</f>
        <v>3.0</v>
      </c>
      <c r="O54" s="45">
        <v>3</v>
      </c>
      <c r="P54" s="46">
        <f>IF(S54="Sì",0,IF(ISNUMBER(O54),O54,IF(ISNUMBER(N54),N54,"")))</f>
        <v>3.0</v>
      </c>
      <c r="Q54" s="47">
        <f>IF(AND(ISNUMBER(O54),ISNUMBER(N54)),O54-N54,"")</f>
        <v>0.0</v>
      </c>
      <c r="R54" s="24"/>
      <c r="S54" s="24"/>
      <c r="T54" s="24" t="s">
        <v>13</v>
      </c>
      <c r="U54" s="48"/>
      <c r="V54" s="49" t="s">
        <v>49</v>
      </c>
      <c r="W54" s="50"/>
    </row>
    <row r="55" spans="1:23" ht="31.4" customHeight="1">
      <c r="A55" s="37">
        <v>3</v>
      </c>
      <c r="B55" s="38" t="s">
        <v>126</v>
      </c>
      <c r="C55" s="67" t="s">
        <v>127</v>
      </c>
      <c r="D55" s="38" t="s">
        <v>8</v>
      </c>
      <c r="E55" s="39">
        <v>46054</v>
      </c>
      <c r="F55" s="40">
        <v>46069</v>
      </c>
      <c r="G55" s="41" t="s">
        <v>48</v>
      </c>
      <c r="H55" s="42" t="s">
        <v>190</v>
      </c>
      <c r="I55" s="43">
        <v>0.3333333333333333</v>
      </c>
      <c r="J55" s="43">
        <v>0.4583333333333333</v>
      </c>
      <c r="K55" s="68" t="s">
        <v>131</v>
      </c>
      <c r="L55" s="68" t="s">
        <v>131</v>
      </c>
      <c r="M55" s="44">
        <f>IF(AND(ISNUMBER(I55),ISNUMBER(J55)),IF(J55&gt;I55,(J55-I55)*24,""),"")</f>
        <v>3.0</v>
      </c>
      <c r="N55" s="45">
        <f>IF(AND(ISNUMBER(K55),ISNUMBER(L55)),IF(L55&gt;K55,(L55-K55)*24,""),"")</f>
        <v/>
      </c>
      <c r="O55" s="24"/>
      <c r="P55" s="46">
        <f>IF(S55="Sì",0,IF(ISNUMBER(O55),O55,IF(ISNUMBER(N55),N55,"")))</f>
        <v/>
      </c>
      <c r="Q55" s="47">
        <f>IF(AND(ISNUMBER(O55),ISNUMBER(N55)),O55-N55,"")</f>
        <v/>
      </c>
      <c r="R55" s="24"/>
      <c r="S55" s="24"/>
      <c r="T55" s="24"/>
      <c r="U55" s="48" t="s">
        <v>134</v>
      </c>
      <c r="V55" s="49" t="s">
        <v>135</v>
      </c>
      <c r="W55" s="50" t="s">
        <v>198</v>
      </c>
    </row>
    <row r="56" spans="1:23" ht="31.4" customHeight="1">
      <c r="A56" s="37">
        <v>3</v>
      </c>
      <c r="B56" s="38" t="s">
        <v>126</v>
      </c>
      <c r="C56" s="67" t="s">
        <v>127</v>
      </c>
      <c r="D56" s="38" t="s">
        <v>8</v>
      </c>
      <c r="E56" s="39">
        <v>46054</v>
      </c>
      <c r="F56" s="40">
        <v>46070</v>
      </c>
      <c r="G56" s="41" t="s">
        <v>50</v>
      </c>
      <c r="H56" s="42" t="s">
        <v>190</v>
      </c>
      <c r="I56" s="43">
        <v>0.3333333333333333</v>
      </c>
      <c r="J56" s="43">
        <v>0.4583333333333333</v>
      </c>
      <c r="K56" s="68" t="s">
        <v>131</v>
      </c>
      <c r="L56" s="68" t="s">
        <v>131</v>
      </c>
      <c r="M56" s="44">
        <f>IF(AND(ISNUMBER(I56),ISNUMBER(J56)),IF(J56&gt;I56,(J56-I56)*24,""),"")</f>
        <v>3.0</v>
      </c>
      <c r="N56" s="45">
        <f>IF(AND(ISNUMBER(K56),ISNUMBER(L56)),IF(L56&gt;K56,(L56-K56)*24,""),"")</f>
        <v/>
      </c>
      <c r="O56" s="24"/>
      <c r="P56" s="46">
        <f>IF(S56="Sì",0,IF(ISNUMBER(O56),O56,IF(ISNUMBER(N56),N56,"")))</f>
        <v/>
      </c>
      <c r="Q56" s="47">
        <f>IF(AND(ISNUMBER(O56),ISNUMBER(N56)),O56-N56,"")</f>
        <v/>
      </c>
      <c r="R56" s="24"/>
      <c r="S56" s="24"/>
      <c r="T56" s="24"/>
      <c r="U56" s="48" t="s">
        <v>134</v>
      </c>
      <c r="V56" s="49" t="s">
        <v>135</v>
      </c>
      <c r="W56" s="50" t="s">
        <v>198</v>
      </c>
    </row>
    <row r="57" spans="1:23" ht="31.4" customHeight="1">
      <c r="A57" s="37">
        <v>3</v>
      </c>
      <c r="B57" s="38" t="s">
        <v>126</v>
      </c>
      <c r="C57" s="67" t="s">
        <v>127</v>
      </c>
      <c r="D57" s="38" t="s">
        <v>8</v>
      </c>
      <c r="E57" s="39">
        <v>46054</v>
      </c>
      <c r="F57" s="40">
        <v>46071</v>
      </c>
      <c r="G57" s="41" t="s">
        <v>51</v>
      </c>
      <c r="H57" s="42" t="s">
        <v>190</v>
      </c>
      <c r="I57" s="43">
        <v>0.3333333333333333</v>
      </c>
      <c r="J57" s="43">
        <v>0.4583333333333333</v>
      </c>
      <c r="K57" s="43">
        <v>0.3333333333333333</v>
      </c>
      <c r="L57" s="43">
        <v>0.4583333333333333</v>
      </c>
      <c r="M57" s="44">
        <f>IF(AND(ISNUMBER(I57),ISNUMBER(J57)),IF(J57&gt;I57,(J57-I57)*24,""),"")</f>
        <v>3.0</v>
      </c>
      <c r="N57" s="45">
        <f>IF(AND(ISNUMBER(K57),ISNUMBER(L57)),IF(L57&gt;K57,(L57-K57)*24,""),"")</f>
        <v>3.0</v>
      </c>
      <c r="O57" s="70">
        <v>3</v>
      </c>
      <c r="P57" s="46">
        <f>IF(S57="Sì",0,IF(ISNUMBER(O57),O57,IF(ISNUMBER(N57),N57,"")))</f>
        <v>3.0</v>
      </c>
      <c r="Q57" s="47">
        <f>IF(AND(ISNUMBER(O57),ISNUMBER(N57)),O57-N57,"")</f>
        <v>0.0</v>
      </c>
      <c r="R57" s="24"/>
      <c r="S57" s="24"/>
      <c r="T57" s="24" t="s">
        <v>13</v>
      </c>
      <c r="U57" s="48"/>
      <c r="V57" s="49" t="s">
        <v>136</v>
      </c>
      <c r="W57" s="50" t="s">
        <v>199</v>
      </c>
    </row>
    <row r="58" spans="1:23" ht="18.2" customHeight="1">
      <c r="A58" s="37">
        <v>3</v>
      </c>
      <c r="B58" s="38" t="s">
        <v>126</v>
      </c>
      <c r="C58" s="67" t="s">
        <v>127</v>
      </c>
      <c r="D58" s="38" t="s">
        <v>8</v>
      </c>
      <c r="E58" s="39">
        <v>46054</v>
      </c>
      <c r="F58" s="40">
        <v>46072</v>
      </c>
      <c r="G58" s="41" t="s">
        <v>52</v>
      </c>
      <c r="H58" s="42" t="s">
        <v>190</v>
      </c>
      <c r="I58" s="43">
        <v>0.3333333333333333</v>
      </c>
      <c r="J58" s="43">
        <v>0.4583333333333333</v>
      </c>
      <c r="K58" s="43">
        <v>0.3333333333333333</v>
      </c>
      <c r="L58" s="43">
        <v>0.4583333333333333</v>
      </c>
      <c r="M58" s="44">
        <f>IF(AND(ISNUMBER(I58),ISNUMBER(J58)),IF(J58&gt;I58,(J58-I58)*24,""),"")</f>
        <v>3.0</v>
      </c>
      <c r="N58" s="45">
        <f>IF(AND(ISNUMBER(K58),ISNUMBER(L58)),IF(L58&gt;K58,(L58-K58)*24,""),"")</f>
        <v>3.0</v>
      </c>
      <c r="O58" s="45">
        <v>3</v>
      </c>
      <c r="P58" s="46">
        <f>IF(S58="Sì",0,IF(ISNUMBER(O58),O58,IF(ISNUMBER(N58),N58,"")))</f>
        <v>3.0</v>
      </c>
      <c r="Q58" s="47">
        <f>IF(AND(ISNUMBER(O58),ISNUMBER(N58)),O58-N58,"")</f>
        <v>0.0</v>
      </c>
      <c r="R58" s="24"/>
      <c r="S58" s="24"/>
      <c r="T58" s="24" t="s">
        <v>13</v>
      </c>
      <c r="U58" s="48"/>
      <c r="V58" s="49" t="s">
        <v>49</v>
      </c>
      <c r="W58" s="50"/>
    </row>
    <row r="59" spans="1:23" ht="18.2" customHeight="1">
      <c r="A59" s="37">
        <v>3</v>
      </c>
      <c r="B59" s="38" t="s">
        <v>126</v>
      </c>
      <c r="C59" s="67" t="s">
        <v>127</v>
      </c>
      <c r="D59" s="38" t="s">
        <v>8</v>
      </c>
      <c r="E59" s="39">
        <v>46054</v>
      </c>
      <c r="F59" s="40">
        <v>46073</v>
      </c>
      <c r="G59" s="41" t="s">
        <v>53</v>
      </c>
      <c r="H59" s="42" t="s">
        <v>190</v>
      </c>
      <c r="I59" s="43">
        <v>0.3333333333333333</v>
      </c>
      <c r="J59" s="43">
        <v>0.4583333333333333</v>
      </c>
      <c r="K59" s="43">
        <v>0.3333333333333333</v>
      </c>
      <c r="L59" s="43">
        <v>0.4583333333333333</v>
      </c>
      <c r="M59" s="44">
        <f>IF(AND(ISNUMBER(I59),ISNUMBER(J59)),IF(J59&gt;I59,(J59-I59)*24,""),"")</f>
        <v>3.0</v>
      </c>
      <c r="N59" s="45">
        <f>IF(AND(ISNUMBER(K59),ISNUMBER(L59)),IF(L59&gt;K59,(L59-K59)*24,""),"")</f>
        <v>3.0</v>
      </c>
      <c r="O59" s="45">
        <v>3</v>
      </c>
      <c r="P59" s="46">
        <f>IF(S59="Sì",0,IF(ISNUMBER(O59),O59,IF(ISNUMBER(N59),N59,"")))</f>
        <v>3.0</v>
      </c>
      <c r="Q59" s="47">
        <f>IF(AND(ISNUMBER(O59),ISNUMBER(N59)),O59-N59,"")</f>
        <v>0.0</v>
      </c>
      <c r="R59" s="24"/>
      <c r="S59" s="24"/>
      <c r="T59" s="24" t="s">
        <v>13</v>
      </c>
      <c r="U59" s="48"/>
      <c r="V59" s="49" t="s">
        <v>49</v>
      </c>
      <c r="W59" s="50"/>
    </row>
    <row r="60" spans="1:23" ht="18.2" customHeight="1">
      <c r="A60" s="37">
        <v>3</v>
      </c>
      <c r="B60" s="38" t="s">
        <v>126</v>
      </c>
      <c r="C60" s="67" t="s">
        <v>127</v>
      </c>
      <c r="D60" s="38" t="s">
        <v>8</v>
      </c>
      <c r="E60" s="39">
        <v>46054</v>
      </c>
      <c r="F60" s="40">
        <v>46076</v>
      </c>
      <c r="G60" s="41" t="s">
        <v>48</v>
      </c>
      <c r="H60" s="42" t="s">
        <v>190</v>
      </c>
      <c r="I60" s="43">
        <v>0.3333333333333333</v>
      </c>
      <c r="J60" s="43">
        <v>0.4583333333333333</v>
      </c>
      <c r="K60" s="43">
        <v>0.3333333333333333</v>
      </c>
      <c r="L60" s="43">
        <v>0.4583333333333333</v>
      </c>
      <c r="M60" s="44">
        <f>IF(AND(ISNUMBER(I60),ISNUMBER(J60)),IF(J60&gt;I60,(J60-I60)*24,""),"")</f>
        <v>3.0</v>
      </c>
      <c r="N60" s="45">
        <f>IF(AND(ISNUMBER(K60),ISNUMBER(L60)),IF(L60&gt;K60,(L60-K60)*24,""),"")</f>
        <v>3.0</v>
      </c>
      <c r="O60" s="45">
        <v>3</v>
      </c>
      <c r="P60" s="46">
        <f>IF(S60="Sì",0,IF(ISNUMBER(O60),O60,IF(ISNUMBER(N60),N60,"")))</f>
        <v>3.0</v>
      </c>
      <c r="Q60" s="47">
        <f>IF(AND(ISNUMBER(O60),ISNUMBER(N60)),O60-N60,"")</f>
        <v>0.0</v>
      </c>
      <c r="R60" s="24"/>
      <c r="S60" s="24"/>
      <c r="T60" s="24" t="s">
        <v>13</v>
      </c>
      <c r="U60" s="48"/>
      <c r="V60" s="49" t="s">
        <v>49</v>
      </c>
      <c r="W60" s="50"/>
    </row>
    <row r="61" spans="1:23" ht="18.2" customHeight="1">
      <c r="A61" s="37">
        <v>3</v>
      </c>
      <c r="B61" s="38" t="s">
        <v>126</v>
      </c>
      <c r="C61" s="67" t="s">
        <v>127</v>
      </c>
      <c r="D61" s="38" t="s">
        <v>8</v>
      </c>
      <c r="E61" s="39">
        <v>46054</v>
      </c>
      <c r="F61" s="40">
        <v>46077</v>
      </c>
      <c r="G61" s="41" t="s">
        <v>50</v>
      </c>
      <c r="H61" s="42" t="s">
        <v>190</v>
      </c>
      <c r="I61" s="43">
        <v>0.3333333333333333</v>
      </c>
      <c r="J61" s="43">
        <v>0.4583333333333333</v>
      </c>
      <c r="K61" s="43">
        <v>0.3333333333333333</v>
      </c>
      <c r="L61" s="43">
        <v>0.4583333333333333</v>
      </c>
      <c r="M61" s="44">
        <f>IF(AND(ISNUMBER(I61),ISNUMBER(J61)),IF(J61&gt;I61,(J61-I61)*24,""),"")</f>
        <v>3.0</v>
      </c>
      <c r="N61" s="45">
        <f>IF(AND(ISNUMBER(K61),ISNUMBER(L61)),IF(L61&gt;K61,(L61-K61)*24,""),"")</f>
        <v>3.0</v>
      </c>
      <c r="O61" s="45">
        <v>3</v>
      </c>
      <c r="P61" s="46">
        <f>IF(S61="Sì",0,IF(ISNUMBER(O61),O61,IF(ISNUMBER(N61),N61,"")))</f>
        <v>3.0</v>
      </c>
      <c r="Q61" s="47">
        <f>IF(AND(ISNUMBER(O61),ISNUMBER(N61)),O61-N61,"")</f>
        <v>0.0</v>
      </c>
      <c r="R61" s="24"/>
      <c r="S61" s="24"/>
      <c r="T61" s="24" t="s">
        <v>13</v>
      </c>
      <c r="U61" s="48"/>
      <c r="V61" s="49" t="s">
        <v>49</v>
      </c>
      <c r="W61" s="50"/>
    </row>
    <row r="62" spans="1:23" ht="18.2" customHeight="1">
      <c r="A62" s="37">
        <v>3</v>
      </c>
      <c r="B62" s="38" t="s">
        <v>126</v>
      </c>
      <c r="C62" s="67" t="s">
        <v>127</v>
      </c>
      <c r="D62" s="38" t="s">
        <v>8</v>
      </c>
      <c r="E62" s="39">
        <v>46054</v>
      </c>
      <c r="F62" s="40">
        <v>46078</v>
      </c>
      <c r="G62" s="41" t="s">
        <v>51</v>
      </c>
      <c r="H62" s="42" t="s">
        <v>190</v>
      </c>
      <c r="I62" s="43">
        <v>0.3333333333333333</v>
      </c>
      <c r="J62" s="43">
        <v>0.4583333333333333</v>
      </c>
      <c r="K62" s="43">
        <v>0.3333333333333333</v>
      </c>
      <c r="L62" s="43">
        <v>0.4583333333333333</v>
      </c>
      <c r="M62" s="44">
        <f>IF(AND(ISNUMBER(I62),ISNUMBER(J62)),IF(J62&gt;I62,(J62-I62)*24,""),"")</f>
        <v>3.0</v>
      </c>
      <c r="N62" s="45">
        <f>IF(AND(ISNUMBER(K62),ISNUMBER(L62)),IF(L62&gt;K62,(L62-K62)*24,""),"")</f>
        <v>3.0</v>
      </c>
      <c r="O62" s="45">
        <v>3</v>
      </c>
      <c r="P62" s="46">
        <f>IF(S62="Sì",0,IF(ISNUMBER(O62),O62,IF(ISNUMBER(N62),N62,"")))</f>
        <v>3.0</v>
      </c>
      <c r="Q62" s="47">
        <f>IF(AND(ISNUMBER(O62),ISNUMBER(N62)),O62-N62,"")</f>
        <v>0.0</v>
      </c>
      <c r="R62" s="24"/>
      <c r="S62" s="24"/>
      <c r="T62" s="24" t="s">
        <v>13</v>
      </c>
      <c r="U62" s="48"/>
      <c r="V62" s="49" t="s">
        <v>49</v>
      </c>
      <c r="W62" s="50"/>
    </row>
    <row r="63" spans="1:23" ht="18.2" customHeight="1">
      <c r="A63" s="37">
        <v>3</v>
      </c>
      <c r="B63" s="38" t="s">
        <v>126</v>
      </c>
      <c r="C63" s="67" t="s">
        <v>127</v>
      </c>
      <c r="D63" s="38" t="s">
        <v>8</v>
      </c>
      <c r="E63" s="39">
        <v>46054</v>
      </c>
      <c r="F63" s="40">
        <v>46079</v>
      </c>
      <c r="G63" s="41" t="s">
        <v>52</v>
      </c>
      <c r="H63" s="42" t="s">
        <v>190</v>
      </c>
      <c r="I63" s="43">
        <v>0.3333333333333333</v>
      </c>
      <c r="J63" s="43">
        <v>0.4583333333333333</v>
      </c>
      <c r="K63" s="43">
        <v>0.3333333333333333</v>
      </c>
      <c r="L63" s="43">
        <v>0.4583333333333333</v>
      </c>
      <c r="M63" s="44">
        <f>IF(AND(ISNUMBER(I63),ISNUMBER(J63)),IF(J63&gt;I63,(J63-I63)*24,""),"")</f>
        <v>3.0</v>
      </c>
      <c r="N63" s="45">
        <f>IF(AND(ISNUMBER(K63),ISNUMBER(L63)),IF(L63&gt;K63,(L63-K63)*24,""),"")</f>
        <v>3.0</v>
      </c>
      <c r="O63" s="45">
        <v>3</v>
      </c>
      <c r="P63" s="46">
        <f>IF(S63="Sì",0,IF(ISNUMBER(O63),O63,IF(ISNUMBER(N63),N63,"")))</f>
        <v>3.0</v>
      </c>
      <c r="Q63" s="47">
        <f>IF(AND(ISNUMBER(O63),ISNUMBER(N63)),O63-N63,"")</f>
        <v>0.0</v>
      </c>
      <c r="R63" s="24"/>
      <c r="S63" s="24"/>
      <c r="T63" s="24" t="s">
        <v>13</v>
      </c>
      <c r="U63" s="48"/>
      <c r="V63" s="49" t="s">
        <v>49</v>
      </c>
      <c r="W63" s="50"/>
    </row>
    <row r="64" spans="1:23" ht="18.2" customHeight="1">
      <c r="A64" s="37">
        <v>3</v>
      </c>
      <c r="B64" s="38" t="s">
        <v>126</v>
      </c>
      <c r="C64" s="67" t="s">
        <v>127</v>
      </c>
      <c r="D64" s="38" t="s">
        <v>8</v>
      </c>
      <c r="E64" s="39">
        <v>46054</v>
      </c>
      <c r="F64" s="40">
        <v>46080</v>
      </c>
      <c r="G64" s="41" t="s">
        <v>53</v>
      </c>
      <c r="H64" s="42" t="s">
        <v>190</v>
      </c>
      <c r="I64" s="43">
        <v>0.3333333333333333</v>
      </c>
      <c r="J64" s="43">
        <v>0.4583333333333333</v>
      </c>
      <c r="K64" s="43">
        <v>0.3333333333333333</v>
      </c>
      <c r="L64" s="43">
        <v>0.4583333333333333</v>
      </c>
      <c r="M64" s="44">
        <f>IF(AND(ISNUMBER(I64),ISNUMBER(J64)),IF(J64&gt;I64,(J64-I64)*24,""),"")</f>
        <v>3.0</v>
      </c>
      <c r="N64" s="45">
        <f>IF(AND(ISNUMBER(K64),ISNUMBER(L64)),IF(L64&gt;K64,(L64-K64)*24,""),"")</f>
        <v>3.0</v>
      </c>
      <c r="O64" s="45">
        <v>3</v>
      </c>
      <c r="P64" s="46">
        <f>IF(S64="Sì",0,IF(ISNUMBER(O64),O64,IF(ISNUMBER(N64),N64,"")))</f>
        <v>3.0</v>
      </c>
      <c r="Q64" s="47">
        <f>IF(AND(ISNUMBER(O64),ISNUMBER(N64)),O64-N64,"")</f>
        <v>0.0</v>
      </c>
      <c r="R64" s="24"/>
      <c r="S64" s="24"/>
      <c r="T64" s="24" t="s">
        <v>13</v>
      </c>
      <c r="U64" s="48"/>
      <c r="V64" s="49" t="s">
        <v>49</v>
      </c>
      <c r="W64" s="50"/>
    </row>
    <row r="65" spans="1:23" ht="18.2" customHeight="1">
      <c r="A65" s="37">
        <v>4</v>
      </c>
      <c r="B65" s="38" t="s">
        <v>126</v>
      </c>
      <c r="C65" s="38" t="s">
        <v>127</v>
      </c>
      <c r="D65" s="38" t="s">
        <v>8</v>
      </c>
      <c r="E65" s="39">
        <v>46082</v>
      </c>
      <c r="F65" s="40">
        <v>46083</v>
      </c>
      <c r="G65" s="41" t="s">
        <v>48</v>
      </c>
      <c r="H65" s="42" t="s">
        <v>190</v>
      </c>
      <c r="I65" s="43">
        <v>0.3333333333333333</v>
      </c>
      <c r="J65" s="43">
        <v>0.4583333333333333</v>
      </c>
      <c r="K65" s="43">
        <v>0.3333333333333333</v>
      </c>
      <c r="L65" s="43">
        <v>0.4583333333333333</v>
      </c>
      <c r="M65" s="44">
        <f>IF(AND(ISNUMBER(I65),ISNUMBER(J65)),IF(J65&gt;I65,(J65-I65)*24,""),"")</f>
        <v>3.0</v>
      </c>
      <c r="N65" s="45">
        <f>IF(AND(ISNUMBER(K65),ISNUMBER(L65)),IF(L65&gt;K65,(L65-K65)*24,""),"")</f>
        <v>3.0</v>
      </c>
      <c r="O65" s="45">
        <v>3</v>
      </c>
      <c r="P65" s="46">
        <f>IF(S65="Sì",0,IF(ISNUMBER(O65),O65,IF(ISNUMBER(N65),N65,"")))</f>
        <v>3.0</v>
      </c>
      <c r="Q65" s="47">
        <f>IF(AND(ISNUMBER(O65),ISNUMBER(N65)),O65-N65,"")</f>
        <v>0.0</v>
      </c>
      <c r="R65" s="24"/>
      <c r="S65" s="24"/>
      <c r="T65" s="24" t="s">
        <v>13</v>
      </c>
      <c r="U65" s="48"/>
      <c r="V65" s="49" t="s">
        <v>49</v>
      </c>
      <c r="W65" s="50"/>
    </row>
    <row r="66" spans="1:23" ht="18.2" customHeight="1">
      <c r="A66" s="37">
        <v>4</v>
      </c>
      <c r="B66" s="38" t="s">
        <v>126</v>
      </c>
      <c r="C66" s="38" t="s">
        <v>127</v>
      </c>
      <c r="D66" s="38" t="s">
        <v>8</v>
      </c>
      <c r="E66" s="39">
        <v>46082</v>
      </c>
      <c r="F66" s="40">
        <v>46084</v>
      </c>
      <c r="G66" s="41" t="s">
        <v>50</v>
      </c>
      <c r="H66" s="42" t="s">
        <v>190</v>
      </c>
      <c r="I66" s="43">
        <v>0.3333333333333333</v>
      </c>
      <c r="J66" s="43">
        <v>0.4583333333333333</v>
      </c>
      <c r="K66" s="43">
        <v>0.3333333333333333</v>
      </c>
      <c r="L66" s="43">
        <v>0.4583333333333333</v>
      </c>
      <c r="M66" s="44">
        <f>IF(AND(ISNUMBER(I66),ISNUMBER(J66)),IF(J66&gt;I66,(J66-I66)*24,""),"")</f>
        <v>3.0</v>
      </c>
      <c r="N66" s="45">
        <f>IF(AND(ISNUMBER(K66),ISNUMBER(L66)),IF(L66&gt;K66,(L66-K66)*24,""),"")</f>
        <v>3.0</v>
      </c>
      <c r="O66" s="45">
        <v>3</v>
      </c>
      <c r="P66" s="46">
        <f>IF(S66="Sì",0,IF(ISNUMBER(O66),O66,IF(ISNUMBER(N66),N66,"")))</f>
        <v>3.0</v>
      </c>
      <c r="Q66" s="47">
        <f>IF(AND(ISNUMBER(O66),ISNUMBER(N66)),O66-N66,"")</f>
        <v>0.0</v>
      </c>
      <c r="R66" s="24"/>
      <c r="S66" s="24"/>
      <c r="T66" s="24" t="s">
        <v>13</v>
      </c>
      <c r="U66" s="48"/>
      <c r="V66" s="49" t="s">
        <v>49</v>
      </c>
      <c r="W66" s="50"/>
    </row>
    <row r="67" spans="1:23" ht="18.2" customHeight="1">
      <c r="A67" s="37">
        <v>4</v>
      </c>
      <c r="B67" s="38" t="s">
        <v>126</v>
      </c>
      <c r="C67" s="38" t="s">
        <v>127</v>
      </c>
      <c r="D67" s="38" t="s">
        <v>8</v>
      </c>
      <c r="E67" s="39">
        <v>46082</v>
      </c>
      <c r="F67" s="40">
        <v>46085</v>
      </c>
      <c r="G67" s="41" t="s">
        <v>51</v>
      </c>
      <c r="H67" s="42" t="s">
        <v>190</v>
      </c>
      <c r="I67" s="43">
        <v>0.3333333333333333</v>
      </c>
      <c r="J67" s="43">
        <v>0.4583333333333333</v>
      </c>
      <c r="K67" s="43">
        <v>0.3333333333333333</v>
      </c>
      <c r="L67" s="43">
        <v>0.4583333333333333</v>
      </c>
      <c r="M67" s="44">
        <f>IF(AND(ISNUMBER(I67),ISNUMBER(J67)),IF(J67&gt;I67,(J67-I67)*24,""),"")</f>
        <v>3.0</v>
      </c>
      <c r="N67" s="45">
        <f>IF(AND(ISNUMBER(K67),ISNUMBER(L67)),IF(L67&gt;K67,(L67-K67)*24,""),"")</f>
        <v>3.0</v>
      </c>
      <c r="O67" s="45">
        <v>3</v>
      </c>
      <c r="P67" s="46">
        <f>IF(S67="Sì",0,IF(ISNUMBER(O67),O67,IF(ISNUMBER(N67),N67,"")))</f>
        <v>3.0</v>
      </c>
      <c r="Q67" s="47">
        <f>IF(AND(ISNUMBER(O67),ISNUMBER(N67)),O67-N67,"")</f>
        <v>0.0</v>
      </c>
      <c r="R67" s="24"/>
      <c r="S67" s="24"/>
      <c r="T67" s="24" t="s">
        <v>13</v>
      </c>
      <c r="U67" s="48"/>
      <c r="V67" s="49" t="s">
        <v>49</v>
      </c>
      <c r="W67" s="50"/>
    </row>
    <row r="68" spans="1:23" ht="18.2" customHeight="1">
      <c r="A68" s="37">
        <v>4</v>
      </c>
      <c r="B68" s="38" t="s">
        <v>126</v>
      </c>
      <c r="C68" s="38" t="s">
        <v>127</v>
      </c>
      <c r="D68" s="38" t="s">
        <v>8</v>
      </c>
      <c r="E68" s="39">
        <v>46082</v>
      </c>
      <c r="F68" s="40">
        <v>46086</v>
      </c>
      <c r="G68" s="41" t="s">
        <v>52</v>
      </c>
      <c r="H68" s="42" t="s">
        <v>190</v>
      </c>
      <c r="I68" s="43">
        <v>0.3333333333333333</v>
      </c>
      <c r="J68" s="43">
        <v>0.4583333333333333</v>
      </c>
      <c r="K68" s="43">
        <v>0.3333333333333333</v>
      </c>
      <c r="L68" s="43">
        <v>0.4583333333333333</v>
      </c>
      <c r="M68" s="44">
        <f>IF(AND(ISNUMBER(I68),ISNUMBER(J68)),IF(J68&gt;I68,(J68-I68)*24,""),"")</f>
        <v>3.0</v>
      </c>
      <c r="N68" s="45">
        <f>IF(AND(ISNUMBER(K68),ISNUMBER(L68)),IF(L68&gt;K68,(L68-K68)*24,""),"")</f>
        <v>3.0</v>
      </c>
      <c r="O68" s="45">
        <v>3</v>
      </c>
      <c r="P68" s="46">
        <f>IF(S68="Sì",0,IF(ISNUMBER(O68),O68,IF(ISNUMBER(N68),N68,"")))</f>
        <v>3.0</v>
      </c>
      <c r="Q68" s="47">
        <f>IF(AND(ISNUMBER(O68),ISNUMBER(N68)),O68-N68,"")</f>
        <v>0.0</v>
      </c>
      <c r="R68" s="24"/>
      <c r="S68" s="24"/>
      <c r="T68" s="24" t="s">
        <v>13</v>
      </c>
      <c r="U68" s="48"/>
      <c r="V68" s="49" t="s">
        <v>49</v>
      </c>
      <c r="W68" s="50"/>
    </row>
    <row r="69" spans="1:23" ht="18.2" customHeight="1">
      <c r="A69" s="37">
        <v>4</v>
      </c>
      <c r="B69" s="38" t="s">
        <v>126</v>
      </c>
      <c r="C69" s="38" t="s">
        <v>127</v>
      </c>
      <c r="D69" s="38" t="s">
        <v>8</v>
      </c>
      <c r="E69" s="39">
        <v>46082</v>
      </c>
      <c r="F69" s="40">
        <v>46087</v>
      </c>
      <c r="G69" s="41" t="s">
        <v>53</v>
      </c>
      <c r="H69" s="42" t="s">
        <v>190</v>
      </c>
      <c r="I69" s="43">
        <v>0.3333333333333333</v>
      </c>
      <c r="J69" s="43">
        <v>0.4583333333333333</v>
      </c>
      <c r="K69" s="43">
        <v>0.3333333333333333</v>
      </c>
      <c r="L69" s="43">
        <v>0.4583333333333333</v>
      </c>
      <c r="M69" s="44">
        <f>IF(AND(ISNUMBER(I69),ISNUMBER(J69)),IF(J69&gt;I69,(J69-I69)*24,""),"")</f>
        <v>3.0</v>
      </c>
      <c r="N69" s="45">
        <f>IF(AND(ISNUMBER(K69),ISNUMBER(L69)),IF(L69&gt;K69,(L69-K69)*24,""),"")</f>
        <v>3.0</v>
      </c>
      <c r="O69" s="45">
        <v>3</v>
      </c>
      <c r="P69" s="46">
        <f>IF(S69="Sì",0,IF(ISNUMBER(O69),O69,IF(ISNUMBER(N69),N69,"")))</f>
        <v>3.0</v>
      </c>
      <c r="Q69" s="47">
        <f>IF(AND(ISNUMBER(O69),ISNUMBER(N69)),O69-N69,"")</f>
        <v>0.0</v>
      </c>
      <c r="R69" s="24"/>
      <c r="S69" s="24"/>
      <c r="T69" s="24" t="s">
        <v>13</v>
      </c>
      <c r="U69" s="48"/>
      <c r="V69" s="49" t="s">
        <v>49</v>
      </c>
      <c r="W69" s="50"/>
    </row>
    <row r="70" spans="1:23" ht="18.2" customHeight="1">
      <c r="A70" s="37">
        <v>4</v>
      </c>
      <c r="B70" s="38" t="s">
        <v>126</v>
      </c>
      <c r="C70" s="38" t="s">
        <v>127</v>
      </c>
      <c r="D70" s="38" t="s">
        <v>8</v>
      </c>
      <c r="E70" s="39">
        <v>46082</v>
      </c>
      <c r="F70" s="40">
        <v>46090</v>
      </c>
      <c r="G70" s="41" t="s">
        <v>48</v>
      </c>
      <c r="H70" s="42" t="s">
        <v>190</v>
      </c>
      <c r="I70" s="43">
        <v>0.3333333333333333</v>
      </c>
      <c r="J70" s="43">
        <v>0.4583333333333333</v>
      </c>
      <c r="K70" s="43">
        <v>0.3333333333333333</v>
      </c>
      <c r="L70" s="43">
        <v>0.4583333333333333</v>
      </c>
      <c r="M70" s="44">
        <f>IF(AND(ISNUMBER(I70),ISNUMBER(J70)),IF(J70&gt;I70,(J70-I70)*24,""),"")</f>
        <v>3.0</v>
      </c>
      <c r="N70" s="45">
        <f>IF(AND(ISNUMBER(K70),ISNUMBER(L70)),IF(L70&gt;K70,(L70-K70)*24,""),"")</f>
        <v>3.0</v>
      </c>
      <c r="O70" s="45">
        <v>3</v>
      </c>
      <c r="P70" s="46">
        <f>IF(S70="Sì",0,IF(ISNUMBER(O70),O70,IF(ISNUMBER(N70),N70,"")))</f>
        <v>3.0</v>
      </c>
      <c r="Q70" s="47">
        <f>IF(AND(ISNUMBER(O70),ISNUMBER(N70)),O70-N70,"")</f>
        <v>0.0</v>
      </c>
      <c r="R70" s="24"/>
      <c r="S70" s="24"/>
      <c r="T70" s="24" t="s">
        <v>13</v>
      </c>
      <c r="U70" s="48"/>
      <c r="V70" s="49" t="s">
        <v>49</v>
      </c>
      <c r="W70" s="50"/>
    </row>
    <row r="71" spans="1:23" ht="18.2" customHeight="1">
      <c r="A71" s="37">
        <v>4</v>
      </c>
      <c r="B71" s="38" t="s">
        <v>126</v>
      </c>
      <c r="C71" s="38" t="s">
        <v>127</v>
      </c>
      <c r="D71" s="38" t="s">
        <v>8</v>
      </c>
      <c r="E71" s="39">
        <v>46082</v>
      </c>
      <c r="F71" s="40">
        <v>46091</v>
      </c>
      <c r="G71" s="41" t="s">
        <v>50</v>
      </c>
      <c r="H71" s="42" t="s">
        <v>190</v>
      </c>
      <c r="I71" s="43">
        <v>0.3333333333333333</v>
      </c>
      <c r="J71" s="43">
        <v>0.4583333333333333</v>
      </c>
      <c r="K71" s="43">
        <v>0.3333333333333333</v>
      </c>
      <c r="L71" s="43">
        <v>0.4583333333333333</v>
      </c>
      <c r="M71" s="44">
        <f>IF(AND(ISNUMBER(I71),ISNUMBER(J71)),IF(J71&gt;I71,(J71-I71)*24,""),"")</f>
        <v>3.0</v>
      </c>
      <c r="N71" s="45">
        <f>IF(AND(ISNUMBER(K71),ISNUMBER(L71)),IF(L71&gt;K71,(L71-K71)*24,""),"")</f>
        <v>3.0</v>
      </c>
      <c r="O71" s="45">
        <v>3</v>
      </c>
      <c r="P71" s="46">
        <f>IF(S71="Sì",0,IF(ISNUMBER(O71),O71,IF(ISNUMBER(N71),N71,"")))</f>
        <v>3.0</v>
      </c>
      <c r="Q71" s="47">
        <f>IF(AND(ISNUMBER(O71),ISNUMBER(N71)),O71-N71,"")</f>
        <v>0.0</v>
      </c>
      <c r="R71" s="24"/>
      <c r="S71" s="24"/>
      <c r="T71" s="24" t="s">
        <v>13</v>
      </c>
      <c r="U71" s="48"/>
      <c r="V71" s="49" t="s">
        <v>49</v>
      </c>
      <c r="W71" s="50"/>
    </row>
    <row r="72" spans="1:23" ht="31.4" customHeight="1">
      <c r="A72" s="37">
        <v>4</v>
      </c>
      <c r="B72" s="38" t="s">
        <v>126</v>
      </c>
      <c r="C72" s="38" t="s">
        <v>127</v>
      </c>
      <c r="D72" s="38" t="s">
        <v>8</v>
      </c>
      <c r="E72" s="39">
        <v>46082</v>
      </c>
      <c r="F72" s="40">
        <v>46092</v>
      </c>
      <c r="G72" s="41" t="s">
        <v>51</v>
      </c>
      <c r="H72" s="42" t="s">
        <v>190</v>
      </c>
      <c r="I72" s="43">
        <v>0.3333333333333333</v>
      </c>
      <c r="J72" s="43">
        <v>0.4583333333333333</v>
      </c>
      <c r="K72" s="43">
        <v>0.3333333333333333</v>
      </c>
      <c r="L72" s="43">
        <v>0.4375</v>
      </c>
      <c r="M72" s="44">
        <f>IF(AND(ISNUMBER(I72),ISNUMBER(J72)),IF(J72&gt;I72,(J72-I72)*24,""),"")</f>
        <v>3.0</v>
      </c>
      <c r="N72" s="45">
        <f>IF(AND(ISNUMBER(K72),ISNUMBER(L72)),IF(L72&gt;K72,(L72-K72)*24,""),"")</f>
        <v>2.5</v>
      </c>
      <c r="O72" s="45">
        <v>3</v>
      </c>
      <c r="P72" s="46">
        <f>IF(S72="Sì",0,IF(ISNUMBER(O72),O72,IF(ISNUMBER(N72),N72,"")))</f>
        <v>3.0</v>
      </c>
      <c r="Q72" s="47">
        <f>IF(AND(ISNUMBER(O72),ISNUMBER(N72)),O72-N72,"")</f>
        <v>0.5</v>
      </c>
      <c r="R72" s="24"/>
      <c r="S72" s="24"/>
      <c r="T72" s="24" t="s">
        <v>13</v>
      </c>
      <c r="U72" s="48"/>
      <c r="V72" s="49" t="s">
        <v>156</v>
      </c>
      <c r="W72" s="50" t="s">
        <v>200</v>
      </c>
    </row>
    <row r="73" spans="1:23" ht="18.2" customHeight="1">
      <c r="A73" s="37">
        <v>4</v>
      </c>
      <c r="B73" s="38" t="s">
        <v>126</v>
      </c>
      <c r="C73" s="38" t="s">
        <v>127</v>
      </c>
      <c r="D73" s="38" t="s">
        <v>8</v>
      </c>
      <c r="E73" s="39">
        <v>46082</v>
      </c>
      <c r="F73" s="40">
        <v>46093</v>
      </c>
      <c r="G73" s="41" t="s">
        <v>52</v>
      </c>
      <c r="H73" s="42" t="s">
        <v>190</v>
      </c>
      <c r="I73" s="43">
        <v>0.3333333333333333</v>
      </c>
      <c r="J73" s="43">
        <v>0.4583333333333333</v>
      </c>
      <c r="K73" s="43">
        <v>0.3333333333333333</v>
      </c>
      <c r="L73" s="43">
        <v>0.4583333333333333</v>
      </c>
      <c r="M73" s="44">
        <f>IF(AND(ISNUMBER(I73),ISNUMBER(J73)),IF(J73&gt;I73,(J73-I73)*24,""),"")</f>
        <v>3.0</v>
      </c>
      <c r="N73" s="45">
        <f>IF(AND(ISNUMBER(K73),ISNUMBER(L73)),IF(L73&gt;K73,(L73-K73)*24,""),"")</f>
        <v>3.0</v>
      </c>
      <c r="O73" s="45">
        <v>3</v>
      </c>
      <c r="P73" s="46">
        <f>IF(S73="Sì",0,IF(ISNUMBER(O73),O73,IF(ISNUMBER(N73),N73,"")))</f>
        <v>3.0</v>
      </c>
      <c r="Q73" s="47">
        <f>IF(AND(ISNUMBER(O73),ISNUMBER(N73)),O73-N73,"")</f>
        <v>0.0</v>
      </c>
      <c r="R73" s="24"/>
      <c r="S73" s="24"/>
      <c r="T73" s="24" t="s">
        <v>13</v>
      </c>
      <c r="U73" s="48"/>
      <c r="V73" s="49" t="s">
        <v>49</v>
      </c>
      <c r="W73" s="50"/>
    </row>
    <row r="74" spans="1:23" ht="18.2" customHeight="1">
      <c r="A74" s="37">
        <v>4</v>
      </c>
      <c r="B74" s="38" t="s">
        <v>126</v>
      </c>
      <c r="C74" s="38" t="s">
        <v>127</v>
      </c>
      <c r="D74" s="38" t="s">
        <v>8</v>
      </c>
      <c r="E74" s="39">
        <v>46082</v>
      </c>
      <c r="F74" s="40">
        <v>46094</v>
      </c>
      <c r="G74" s="41" t="s">
        <v>53</v>
      </c>
      <c r="H74" s="42" t="s">
        <v>190</v>
      </c>
      <c r="I74" s="43">
        <v>0.3333333333333333</v>
      </c>
      <c r="J74" s="43">
        <v>0.4583333333333333</v>
      </c>
      <c r="K74" s="43">
        <v>0.3333333333333333</v>
      </c>
      <c r="L74" s="43">
        <v>0.4583333333333333</v>
      </c>
      <c r="M74" s="44">
        <f>IF(AND(ISNUMBER(I74),ISNUMBER(J74)),IF(J74&gt;I74,(J74-I74)*24,""),"")</f>
        <v>3.0</v>
      </c>
      <c r="N74" s="45">
        <f>IF(AND(ISNUMBER(K74),ISNUMBER(L74)),IF(L74&gt;K74,(L74-K74)*24,""),"")</f>
        <v>3.0</v>
      </c>
      <c r="O74" s="45">
        <v>3</v>
      </c>
      <c r="P74" s="46">
        <f>IF(S74="Sì",0,IF(ISNUMBER(O74),O74,IF(ISNUMBER(N74),N74,"")))</f>
        <v>3.0</v>
      </c>
      <c r="Q74" s="47">
        <f>IF(AND(ISNUMBER(O74),ISNUMBER(N74)),O74-N74,"")</f>
        <v>0.0</v>
      </c>
      <c r="R74" s="24"/>
      <c r="S74" s="24"/>
      <c r="T74" s="24" t="s">
        <v>13</v>
      </c>
      <c r="U74" s="48"/>
      <c r="V74" s="49" t="s">
        <v>49</v>
      </c>
      <c r="W74" s="50"/>
    </row>
    <row r="75" spans="1:23" ht="18.2" customHeight="1">
      <c r="A75" s="37">
        <v>4</v>
      </c>
      <c r="B75" s="38" t="s">
        <v>126</v>
      </c>
      <c r="C75" s="38" t="s">
        <v>127</v>
      </c>
      <c r="D75" s="38" t="s">
        <v>8</v>
      </c>
      <c r="E75" s="39">
        <v>46082</v>
      </c>
      <c r="F75" s="40">
        <v>46097</v>
      </c>
      <c r="G75" s="41" t="s">
        <v>48</v>
      </c>
      <c r="H75" s="42" t="s">
        <v>190</v>
      </c>
      <c r="I75" s="43">
        <v>0.3333333333333333</v>
      </c>
      <c r="J75" s="43">
        <v>0.4583333333333333</v>
      </c>
      <c r="K75" s="43">
        <v>0.3333333333333333</v>
      </c>
      <c r="L75" s="43">
        <v>0.4583333333333333</v>
      </c>
      <c r="M75" s="44">
        <f>IF(AND(ISNUMBER(I75),ISNUMBER(J75)),IF(J75&gt;I75,(J75-I75)*24,""),"")</f>
        <v>3.0</v>
      </c>
      <c r="N75" s="45">
        <f>IF(AND(ISNUMBER(K75),ISNUMBER(L75)),IF(L75&gt;K75,(L75-K75)*24,""),"")</f>
        <v>3.0</v>
      </c>
      <c r="O75" s="45">
        <v>3</v>
      </c>
      <c r="P75" s="46">
        <f>IF(S75="Sì",0,IF(ISNUMBER(O75),O75,IF(ISNUMBER(N75),N75,"")))</f>
        <v>3.0</v>
      </c>
      <c r="Q75" s="47">
        <f>IF(AND(ISNUMBER(O75),ISNUMBER(N75)),O75-N75,"")</f>
        <v>0.0</v>
      </c>
      <c r="R75" s="24"/>
      <c r="S75" s="24"/>
      <c r="T75" s="24" t="s">
        <v>13</v>
      </c>
      <c r="U75" s="48"/>
      <c r="V75" s="49" t="s">
        <v>49</v>
      </c>
      <c r="W75" s="50"/>
    </row>
    <row r="76" spans="1:23" ht="18.2" customHeight="1">
      <c r="A76" s="37">
        <v>4</v>
      </c>
      <c r="B76" s="38" t="s">
        <v>126</v>
      </c>
      <c r="C76" s="38" t="s">
        <v>127</v>
      </c>
      <c r="D76" s="38" t="s">
        <v>8</v>
      </c>
      <c r="E76" s="39">
        <v>46082</v>
      </c>
      <c r="F76" s="40">
        <v>46098</v>
      </c>
      <c r="G76" s="41" t="s">
        <v>50</v>
      </c>
      <c r="H76" s="42" t="s">
        <v>190</v>
      </c>
      <c r="I76" s="43">
        <v>0.3333333333333333</v>
      </c>
      <c r="J76" s="43">
        <v>0.4583333333333333</v>
      </c>
      <c r="K76" s="43">
        <v>0.3333333333333333</v>
      </c>
      <c r="L76" s="43">
        <v>0.4583333333333333</v>
      </c>
      <c r="M76" s="44">
        <f>IF(AND(ISNUMBER(I76),ISNUMBER(J76)),IF(J76&gt;I76,(J76-I76)*24,""),"")</f>
        <v>3.0</v>
      </c>
      <c r="N76" s="45">
        <f>IF(AND(ISNUMBER(K76),ISNUMBER(L76)),IF(L76&gt;K76,(L76-K76)*24,""),"")</f>
        <v>3.0</v>
      </c>
      <c r="O76" s="45">
        <v>3</v>
      </c>
      <c r="P76" s="46">
        <f>IF(S76="Sì",0,IF(ISNUMBER(O76),O76,IF(ISNUMBER(N76),N76,"")))</f>
        <v>3.0</v>
      </c>
      <c r="Q76" s="47">
        <f>IF(AND(ISNUMBER(O76),ISNUMBER(N76)),O76-N76,"")</f>
        <v>0.0</v>
      </c>
      <c r="R76" s="24"/>
      <c r="S76" s="24"/>
      <c r="T76" s="24" t="s">
        <v>13</v>
      </c>
      <c r="U76" s="48"/>
      <c r="V76" s="49" t="s">
        <v>49</v>
      </c>
      <c r="W76" s="50"/>
    </row>
    <row r="77" spans="1:23" ht="18.2" customHeight="1">
      <c r="A77" s="37">
        <v>4</v>
      </c>
      <c r="B77" s="38" t="s">
        <v>126</v>
      </c>
      <c r="C77" s="38" t="s">
        <v>127</v>
      </c>
      <c r="D77" s="38" t="s">
        <v>8</v>
      </c>
      <c r="E77" s="39">
        <v>46082</v>
      </c>
      <c r="F77" s="40">
        <v>46099</v>
      </c>
      <c r="G77" s="41" t="s">
        <v>51</v>
      </c>
      <c r="H77" s="42" t="s">
        <v>190</v>
      </c>
      <c r="I77" s="43">
        <v>0.3333333333333333</v>
      </c>
      <c r="J77" s="43">
        <v>0.4583333333333333</v>
      </c>
      <c r="K77" s="43">
        <v>0.3333333333333333</v>
      </c>
      <c r="L77" s="43">
        <v>0.4583333333333333</v>
      </c>
      <c r="M77" s="44">
        <f>IF(AND(ISNUMBER(I77),ISNUMBER(J77)),IF(J77&gt;I77,(J77-I77)*24,""),"")</f>
        <v>3.0</v>
      </c>
      <c r="N77" s="45">
        <f>IF(AND(ISNUMBER(K77),ISNUMBER(L77)),IF(L77&gt;K77,(L77-K77)*24,""),"")</f>
        <v>3.0</v>
      </c>
      <c r="O77" s="45">
        <v>3</v>
      </c>
      <c r="P77" s="46">
        <f>IF(S77="Sì",0,IF(ISNUMBER(O77),O77,IF(ISNUMBER(N77),N77,"")))</f>
        <v>3.0</v>
      </c>
      <c r="Q77" s="47">
        <f>IF(AND(ISNUMBER(O77),ISNUMBER(N77)),O77-N77,"")</f>
        <v>0.0</v>
      </c>
      <c r="R77" s="24"/>
      <c r="S77" s="24"/>
      <c r="T77" s="24" t="s">
        <v>13</v>
      </c>
      <c r="U77" s="48"/>
      <c r="V77" s="49" t="s">
        <v>49</v>
      </c>
      <c r="W77" s="50"/>
    </row>
    <row r="78" spans="1:23" ht="18.2" customHeight="1">
      <c r="A78" s="37">
        <v>4</v>
      </c>
      <c r="B78" s="38" t="s">
        <v>126</v>
      </c>
      <c r="C78" s="38" t="s">
        <v>127</v>
      </c>
      <c r="D78" s="38" t="s">
        <v>8</v>
      </c>
      <c r="E78" s="39">
        <v>46082</v>
      </c>
      <c r="F78" s="40">
        <v>46100</v>
      </c>
      <c r="G78" s="41" t="s">
        <v>52</v>
      </c>
      <c r="H78" s="42" t="s">
        <v>190</v>
      </c>
      <c r="I78" s="43">
        <v>0.3333333333333333</v>
      </c>
      <c r="J78" s="43">
        <v>0.4583333333333333</v>
      </c>
      <c r="K78" s="68" t="s">
        <v>131</v>
      </c>
      <c r="L78" s="68" t="s">
        <v>131</v>
      </c>
      <c r="M78" s="44">
        <f>IF(AND(ISNUMBER(I78),ISNUMBER(J78)),IF(J78&gt;I78,(J78-I78)*24,""),"")</f>
        <v>3.0</v>
      </c>
      <c r="N78" s="45">
        <f>IF(AND(ISNUMBER(K78),ISNUMBER(L78)),IF(L78&gt;K78,(L78-K78)*24,""),"")</f>
        <v/>
      </c>
      <c r="O78" s="45">
        <v>1.5</v>
      </c>
      <c r="P78" s="46">
        <f>IF(S78="Sì",0,IF(ISNUMBER(O78),O78,IF(ISNUMBER(N78),N78,"")))</f>
        <v>1.5</v>
      </c>
      <c r="Q78" s="47">
        <f>IF(AND(ISNUMBER(O78),ISNUMBER(N78)),O78-N78,"")</f>
        <v/>
      </c>
      <c r="R78" s="24" t="s">
        <v>13</v>
      </c>
      <c r="S78" s="24"/>
      <c r="T78" s="24" t="s">
        <v>13</v>
      </c>
      <c r="U78" s="48"/>
      <c r="V78" s="49" t="s">
        <v>33</v>
      </c>
      <c r="W78" s="50" t="s">
        <v>196</v>
      </c>
    </row>
    <row r="79" spans="1:23" ht="18.2" customHeight="1">
      <c r="A79" s="37">
        <v>4</v>
      </c>
      <c r="B79" s="38" t="s">
        <v>126</v>
      </c>
      <c r="C79" s="38" t="s">
        <v>127</v>
      </c>
      <c r="D79" s="38" t="s">
        <v>8</v>
      </c>
      <c r="E79" s="39">
        <v>46082</v>
      </c>
      <c r="F79" s="40">
        <v>46101</v>
      </c>
      <c r="G79" s="41" t="s">
        <v>53</v>
      </c>
      <c r="H79" s="42" t="s">
        <v>190</v>
      </c>
      <c r="I79" s="43">
        <v>0.3333333333333333</v>
      </c>
      <c r="J79" s="43">
        <v>0.4583333333333333</v>
      </c>
      <c r="K79" s="43">
        <v>0.3333333333333333</v>
      </c>
      <c r="L79" s="43">
        <v>0.4583333333333333</v>
      </c>
      <c r="M79" s="44">
        <f>IF(AND(ISNUMBER(I79),ISNUMBER(J79)),IF(J79&gt;I79,(J79-I79)*24,""),"")</f>
        <v>3.0</v>
      </c>
      <c r="N79" s="45">
        <f>IF(AND(ISNUMBER(K79),ISNUMBER(L79)),IF(L79&gt;K79,(L79-K79)*24,""),"")</f>
        <v>3.0</v>
      </c>
      <c r="O79" s="45">
        <v>3</v>
      </c>
      <c r="P79" s="46">
        <f>IF(S79="Sì",0,IF(ISNUMBER(O79),O79,IF(ISNUMBER(N79),N79,"")))</f>
        <v>3.0</v>
      </c>
      <c r="Q79" s="47">
        <f>IF(AND(ISNUMBER(O79),ISNUMBER(N79)),O79-N79,"")</f>
        <v>0.0</v>
      </c>
      <c r="R79" s="24"/>
      <c r="S79" s="24"/>
      <c r="T79" s="24" t="s">
        <v>13</v>
      </c>
      <c r="U79" s="48"/>
      <c r="V79" s="49" t="s">
        <v>49</v>
      </c>
      <c r="W79" s="50"/>
    </row>
    <row r="80" spans="1:23" ht="31.4" customHeight="1">
      <c r="A80" s="37">
        <v>4</v>
      </c>
      <c r="B80" s="38" t="s">
        <v>126</v>
      </c>
      <c r="C80" s="38" t="s">
        <v>127</v>
      </c>
      <c r="D80" s="38" t="s">
        <v>8</v>
      </c>
      <c r="E80" s="39">
        <v>46082</v>
      </c>
      <c r="F80" s="40">
        <v>46104</v>
      </c>
      <c r="G80" s="41" t="s">
        <v>48</v>
      </c>
      <c r="H80" s="42" t="s">
        <v>190</v>
      </c>
      <c r="I80" s="43">
        <v>0.3333333333333333</v>
      </c>
      <c r="J80" s="71">
        <v>0.4583333333333333</v>
      </c>
      <c r="K80" s="43">
        <v>0.3333333333333333</v>
      </c>
      <c r="L80" s="43">
        <v>0.4583333333333333</v>
      </c>
      <c r="M80" s="44">
        <f>IF(AND(ISNUMBER(I80),ISNUMBER(J80)),IF(J80&gt;I80,(J80-I80)*24,""),"")</f>
        <v>3.0</v>
      </c>
      <c r="N80" s="45">
        <f>IF(AND(ISNUMBER(K80),ISNUMBER(L80)),IF(L80&gt;K80,(L80-K80)*24,""),"")</f>
        <v>3.0</v>
      </c>
      <c r="O80" s="45">
        <v>3</v>
      </c>
      <c r="P80" s="46">
        <f>IF(S80="Sì",0,IF(ISNUMBER(O80),O80,IF(ISNUMBER(N80),N80,"")))</f>
        <v>3.0</v>
      </c>
      <c r="Q80" s="47">
        <f>IF(AND(ISNUMBER(O80),ISNUMBER(N80)),O80-N80,"")</f>
        <v>0.0</v>
      </c>
      <c r="R80" s="24"/>
      <c r="S80" s="24"/>
      <c r="T80" s="24" t="s">
        <v>13</v>
      </c>
      <c r="U80" s="48"/>
      <c r="V80" s="49" t="s">
        <v>157</v>
      </c>
      <c r="W80" s="50" t="s">
        <v>201</v>
      </c>
    </row>
    <row r="81" spans="1:23" ht="18.2" customHeight="1">
      <c r="A81" s="37">
        <v>4</v>
      </c>
      <c r="B81" s="38" t="s">
        <v>126</v>
      </c>
      <c r="C81" s="38" t="s">
        <v>127</v>
      </c>
      <c r="D81" s="38" t="s">
        <v>8</v>
      </c>
      <c r="E81" s="39">
        <v>46082</v>
      </c>
      <c r="F81" s="40">
        <v>46105</v>
      </c>
      <c r="G81" s="41" t="s">
        <v>50</v>
      </c>
      <c r="H81" s="42" t="s">
        <v>190</v>
      </c>
      <c r="I81" s="43">
        <v>0.3333333333333333</v>
      </c>
      <c r="J81" s="43">
        <v>0.4583333333333333</v>
      </c>
      <c r="K81" s="43">
        <v>0.3333333333333333</v>
      </c>
      <c r="L81" s="43">
        <v>0.4583333333333333</v>
      </c>
      <c r="M81" s="44">
        <f>IF(AND(ISNUMBER(I81),ISNUMBER(J81)),IF(J81&gt;I81,(J81-I81)*24,""),"")</f>
        <v>3.0</v>
      </c>
      <c r="N81" s="45">
        <f>IF(AND(ISNUMBER(K81),ISNUMBER(L81)),IF(L81&gt;K81,(L81-K81)*24,""),"")</f>
        <v>3.0</v>
      </c>
      <c r="O81" s="45">
        <v>3</v>
      </c>
      <c r="P81" s="46">
        <f>IF(S81="Sì",0,IF(ISNUMBER(O81),O81,IF(ISNUMBER(N81),N81,"")))</f>
        <v>3.0</v>
      </c>
      <c r="Q81" s="47">
        <f>IF(AND(ISNUMBER(O81),ISNUMBER(N81)),O81-N81,"")</f>
        <v>0.0</v>
      </c>
      <c r="R81" s="24"/>
      <c r="S81" s="24"/>
      <c r="T81" s="24" t="s">
        <v>13</v>
      </c>
      <c r="U81" s="48"/>
      <c r="V81" s="49" t="s">
        <v>49</v>
      </c>
      <c r="W81" s="50"/>
    </row>
    <row r="82" spans="1:23" ht="18.2" customHeight="1">
      <c r="A82" s="37">
        <v>4</v>
      </c>
      <c r="B82" s="38" t="s">
        <v>126</v>
      </c>
      <c r="C82" s="38" t="s">
        <v>127</v>
      </c>
      <c r="D82" s="38" t="s">
        <v>8</v>
      </c>
      <c r="E82" s="39">
        <v>46082</v>
      </c>
      <c r="F82" s="40">
        <v>46106</v>
      </c>
      <c r="G82" s="41" t="s">
        <v>51</v>
      </c>
      <c r="H82" s="42" t="s">
        <v>190</v>
      </c>
      <c r="I82" s="43">
        <v>0.3333333333333333</v>
      </c>
      <c r="J82" s="43">
        <v>0.4583333333333333</v>
      </c>
      <c r="K82" s="43">
        <v>0.3333333333333333</v>
      </c>
      <c r="L82" s="43">
        <v>0.4583333333333333</v>
      </c>
      <c r="M82" s="44">
        <f>IF(AND(ISNUMBER(I82),ISNUMBER(J82)),IF(J82&gt;I82,(J82-I82)*24,""),"")</f>
        <v>3.0</v>
      </c>
      <c r="N82" s="45">
        <f>IF(AND(ISNUMBER(K82),ISNUMBER(L82)),IF(L82&gt;K82,(L82-K82)*24,""),"")</f>
        <v>3.0</v>
      </c>
      <c r="O82" s="45">
        <v>3</v>
      </c>
      <c r="P82" s="46">
        <f>IF(S82="Sì",0,IF(ISNUMBER(O82),O82,IF(ISNUMBER(N82),N82,"")))</f>
        <v>3.0</v>
      </c>
      <c r="Q82" s="47">
        <f>IF(AND(ISNUMBER(O82),ISNUMBER(N82)),O82-N82,"")</f>
        <v>0.0</v>
      </c>
      <c r="R82" s="24"/>
      <c r="S82" s="24"/>
      <c r="T82" s="72" t="s">
        <v>107</v>
      </c>
      <c r="U82" s="48"/>
      <c r="V82" s="49" t="s">
        <v>158</v>
      </c>
      <c r="W82" s="50" t="s">
        <v>202</v>
      </c>
    </row>
    <row r="83" spans="1:23" ht="18.2" customHeight="1">
      <c r="A83" s="37">
        <v>4</v>
      </c>
      <c r="B83" s="38" t="s">
        <v>126</v>
      </c>
      <c r="C83" s="38" t="s">
        <v>127</v>
      </c>
      <c r="D83" s="38" t="s">
        <v>8</v>
      </c>
      <c r="E83" s="39">
        <v>46082</v>
      </c>
      <c r="F83" s="40">
        <v>46107</v>
      </c>
      <c r="G83" s="41" t="s">
        <v>52</v>
      </c>
      <c r="H83" s="42" t="s">
        <v>190</v>
      </c>
      <c r="I83" s="43">
        <v>0.3333333333333333</v>
      </c>
      <c r="J83" s="43">
        <v>0.4583333333333333</v>
      </c>
      <c r="K83" s="43">
        <v>0.3333333333333333</v>
      </c>
      <c r="L83" s="43">
        <v>0.4583333333333333</v>
      </c>
      <c r="M83" s="44">
        <f>IF(AND(ISNUMBER(I83),ISNUMBER(J83)),IF(J83&gt;I83,(J83-I83)*24,""),"")</f>
        <v>3.0</v>
      </c>
      <c r="N83" s="45">
        <f>IF(AND(ISNUMBER(K83),ISNUMBER(L83)),IF(L83&gt;K83,(L83-K83)*24,""),"")</f>
        <v>3.0</v>
      </c>
      <c r="O83" s="45">
        <v>3</v>
      </c>
      <c r="P83" s="46">
        <f>IF(S83="Sì",0,IF(ISNUMBER(O83),O83,IF(ISNUMBER(N83),N83,"")))</f>
        <v>3.0</v>
      </c>
      <c r="Q83" s="47">
        <f>IF(AND(ISNUMBER(O83),ISNUMBER(N83)),O83-N83,"")</f>
        <v>0.0</v>
      </c>
      <c r="R83" s="24"/>
      <c r="S83" s="24"/>
      <c r="T83" s="24" t="s">
        <v>13</v>
      </c>
      <c r="U83" s="48"/>
      <c r="V83" s="49" t="s">
        <v>49</v>
      </c>
      <c r="W83" s="50"/>
    </row>
    <row r="84" spans="1:23" ht="18.2" customHeight="1">
      <c r="A84" s="37">
        <v>4</v>
      </c>
      <c r="B84" s="38" t="s">
        <v>126</v>
      </c>
      <c r="C84" s="38" t="s">
        <v>127</v>
      </c>
      <c r="D84" s="38" t="s">
        <v>8</v>
      </c>
      <c r="E84" s="39">
        <v>46082</v>
      </c>
      <c r="F84" s="40">
        <v>46108</v>
      </c>
      <c r="G84" s="41" t="s">
        <v>53</v>
      </c>
      <c r="H84" s="42" t="s">
        <v>190</v>
      </c>
      <c r="I84" s="43">
        <v>0.3333333333333333</v>
      </c>
      <c r="J84" s="43">
        <v>0.4583333333333333</v>
      </c>
      <c r="K84" s="43">
        <v>0.3333333333333333</v>
      </c>
      <c r="L84" s="43">
        <v>0.4583333333333333</v>
      </c>
      <c r="M84" s="44">
        <f>IF(AND(ISNUMBER(I84),ISNUMBER(J84)),IF(J84&gt;I84,(J84-I84)*24,""),"")</f>
        <v>3.0</v>
      </c>
      <c r="N84" s="45">
        <f>IF(AND(ISNUMBER(K84),ISNUMBER(L84)),IF(L84&gt;K84,(L84-K84)*24,""),"")</f>
        <v>3.0</v>
      </c>
      <c r="O84" s="45">
        <v>3</v>
      </c>
      <c r="P84" s="46">
        <f>IF(S84="Sì",0,IF(ISNUMBER(O84),O84,IF(ISNUMBER(N84),N84,"")))</f>
        <v>3.0</v>
      </c>
      <c r="Q84" s="47">
        <f>IF(AND(ISNUMBER(O84),ISNUMBER(N84)),O84-N84,"")</f>
        <v>0.0</v>
      </c>
      <c r="R84" s="24"/>
      <c r="S84" s="24"/>
      <c r="T84" s="24" t="s">
        <v>13</v>
      </c>
      <c r="U84" s="48"/>
      <c r="V84" s="49" t="s">
        <v>49</v>
      </c>
      <c r="W84" s="50"/>
    </row>
    <row r="85" spans="1:23" ht="18.2" customHeight="1">
      <c r="A85" s="37">
        <v>4</v>
      </c>
      <c r="B85" s="38" t="s">
        <v>126</v>
      </c>
      <c r="C85" s="38" t="s">
        <v>127</v>
      </c>
      <c r="D85" s="38" t="s">
        <v>8</v>
      </c>
      <c r="E85" s="39">
        <v>46082</v>
      </c>
      <c r="F85" s="40">
        <v>46111</v>
      </c>
      <c r="G85" s="41" t="s">
        <v>48</v>
      </c>
      <c r="H85" s="42" t="s">
        <v>190</v>
      </c>
      <c r="I85" s="43">
        <v>0.3333333333333333</v>
      </c>
      <c r="J85" s="43">
        <v>0.4583333333333333</v>
      </c>
      <c r="K85" s="43">
        <v>0.3333333333333333</v>
      </c>
      <c r="L85" s="43">
        <v>0.4583333333333333</v>
      </c>
      <c r="M85" s="44">
        <f>IF(AND(ISNUMBER(I85),ISNUMBER(J85)),IF(J85&gt;I85,(J85-I85)*24,""),"")</f>
        <v>3.0</v>
      </c>
      <c r="N85" s="45">
        <f>IF(AND(ISNUMBER(K85),ISNUMBER(L85)),IF(L85&gt;K85,(L85-K85)*24,""),"")</f>
        <v>3.0</v>
      </c>
      <c r="O85" s="45">
        <v>3</v>
      </c>
      <c r="P85" s="46">
        <f>IF(S85="Sì",0,IF(ISNUMBER(O85),O85,IF(ISNUMBER(N85),N85,"")))</f>
        <v>3.0</v>
      </c>
      <c r="Q85" s="47">
        <f>IF(AND(ISNUMBER(O85),ISNUMBER(N85)),O85-N85,"")</f>
        <v>0.0</v>
      </c>
      <c r="R85" s="24"/>
      <c r="S85" s="24"/>
      <c r="T85" s="24" t="s">
        <v>13</v>
      </c>
      <c r="U85" s="48"/>
      <c r="V85" s="49" t="s">
        <v>49</v>
      </c>
      <c r="W85" s="50"/>
    </row>
    <row r="86" spans="1:23" ht="18.2" customHeight="1">
      <c r="A86" s="37">
        <v>4</v>
      </c>
      <c r="B86" s="38" t="s">
        <v>126</v>
      </c>
      <c r="C86" s="38" t="s">
        <v>127</v>
      </c>
      <c r="D86" s="38" t="s">
        <v>8</v>
      </c>
      <c r="E86" s="39">
        <v>46082</v>
      </c>
      <c r="F86" s="40">
        <v>46112</v>
      </c>
      <c r="G86" s="41" t="s">
        <v>50</v>
      </c>
      <c r="H86" s="42" t="s">
        <v>190</v>
      </c>
      <c r="I86" s="43">
        <v>0.3333333333333333</v>
      </c>
      <c r="J86" s="43">
        <v>0.4583333333333333</v>
      </c>
      <c r="K86" s="43">
        <v>0.3333333333333333</v>
      </c>
      <c r="L86" s="43">
        <v>0.4583333333333333</v>
      </c>
      <c r="M86" s="44">
        <f>IF(AND(ISNUMBER(I86),ISNUMBER(J86)),IF(J86&gt;I86,(J86-I86)*24,""),"")</f>
        <v>3.0</v>
      </c>
      <c r="N86" s="45">
        <f>IF(AND(ISNUMBER(K86),ISNUMBER(L86)),IF(L86&gt;K86,(L86-K86)*24,""),"")</f>
        <v>3.0</v>
      </c>
      <c r="O86" s="45">
        <v>3</v>
      </c>
      <c r="P86" s="46">
        <f>IF(S86="Sì",0,IF(ISNUMBER(O86),O86,IF(ISNUMBER(N86),N86,"")))</f>
        <v>3.0</v>
      </c>
      <c r="Q86" s="47">
        <f>IF(AND(ISNUMBER(O86),ISNUMBER(N86)),O86-N86,"")</f>
        <v>0.0</v>
      </c>
      <c r="R86" s="24"/>
      <c r="S86" s="24"/>
      <c r="T86" s="24" t="s">
        <v>13</v>
      </c>
      <c r="U86" s="48"/>
      <c r="V86" s="49" t="s">
        <v>49</v>
      </c>
      <c r="W86" s="50"/>
    </row>
  </sheetData>
  <autoFilter ref="A5:W86"/>
  <mergeCells count="3">
    <mergeCell ref="A1:W1"/>
    <mergeCell ref="A2:W2"/>
    <mergeCell ref="A4:L4"/>
  </mergeCells>
  <conditionalFormatting sqref="Q6:Q86">
    <cfRule type="expression" dxfId="9" priority="5">
      <formula>AND(ISNUMBER(Q6),ABS(Q6)&gt;0.01,R6&lt;&gt;"Sì")</formula>
    </cfRule>
  </conditionalFormatting>
  <conditionalFormatting sqref="T6:T86">
    <cfRule type="cellIs" dxfId="9" priority="6" operator="equal">
      <formula>"No"</formula>
    </cfRule>
  </conditionalFormatting>
  <conditionalFormatting sqref="V6:V86">
    <cfRule type="beginsWith" dxfId="5" priority="1" operator="beginsWith" text="Errore">
      <formula>LEFT(V6,6)="Errore"</formula>
    </cfRule>
    <cfRule type="beginsWith" dxfId="6" priority="2" operator="beginsWith" text="Da verificare">
      <formula>LEFT(V6,13)="Da verificare"</formula>
    </cfRule>
    <cfRule type="cellIs" dxfId="7" priority="3" operator="equal">
      <formula>"OK"</formula>
    </cfRule>
    <cfRule type="beginsWith" dxfId="8" priority="4" operator="beginsWith" text="Assenza">
      <formula>LEFT(V6,7)="Assenza"</formula>
    </cfRule>
  </conditionalFormatting>
  <hyperlinks>
    <hyperlink ref="A6" location="'DE LUCA G. 03-2026'!A15" tooltip="Apri la scheda: DE LUCA G. 03-2026, giorno 2" display="1"/>
    <hyperlink ref="A7" location="'DE LUCA G. 03-2026'!A16" tooltip="Apri la scheda: DE LUCA G. 03-2026, giorno 3" display="1"/>
    <hyperlink ref="A8" location="'DE LUCA G. 03-2026'!A17" tooltip="Apri la scheda: DE LUCA G. 03-2026, giorno 4" display="1"/>
    <hyperlink ref="A9" location="'DE LUCA G. 03-2026'!A18" tooltip="Apri la scheda: DE LUCA G. 03-2026, giorno 5" display="1"/>
    <hyperlink ref="A10" location="'DE LUCA G. 03-2026'!A19" tooltip="Apri la scheda: DE LUCA G. 03-2026, giorno 6" display="1"/>
    <hyperlink ref="A11" location="'DE LUCA G. 03-2026'!A22" tooltip="Apri la scheda: DE LUCA G. 03-2026, giorno 9" display="1"/>
    <hyperlink ref="A12" location="'DE LUCA G. 03-2026'!A23" tooltip="Apri la scheda: DE LUCA G. 03-2026, giorno 10" display="1"/>
    <hyperlink ref="A13" location="'DE LUCA G. 03-2026'!A24" tooltip="Apri la scheda: DE LUCA G. 03-2026, giorno 11" display="1"/>
    <hyperlink ref="A14" location="'DE LUCA G. 03-2026'!A25" tooltip="Apri la scheda: DE LUCA G. 03-2026, giorno 12" display="1"/>
    <hyperlink ref="A15" location="'DE LUCA G. 03-2026'!A26" tooltip="Apri la scheda: DE LUCA G. 03-2026, giorno 13" display="1"/>
    <hyperlink ref="A16" location="'DE LUCA G. 03-2026'!A27" tooltip="Apri la scheda: DE LUCA G. 03-2026, giorno 14" display="1"/>
    <hyperlink ref="A17" location="'DE LUCA G. 03-2026'!A29" tooltip="Apri la scheda: DE LUCA G. 03-2026, giorno 16" display="1"/>
    <hyperlink ref="A18" location="'DE LUCA G. 03-2026'!A30" tooltip="Apri la scheda: DE LUCA G. 03-2026, giorno 17" display="1"/>
    <hyperlink ref="A19" location="'DE LUCA G. 03-2026'!A31" tooltip="Apri la scheda: DE LUCA G. 03-2026, giorno 18" display="1"/>
    <hyperlink ref="A20" location="'DE LUCA G. 03-2026'!A32" tooltip="Apri la scheda: DE LUCA G. 03-2026, giorno 19" display="1"/>
    <hyperlink ref="A21" location="'DE LUCA G. 03-2026'!A33" tooltip="Apri la scheda: DE LUCA G. 03-2026, giorno 20" display="1"/>
    <hyperlink ref="A22" location="'DE LUCA G. 03-2026'!A36" tooltip="Apri la scheda: DE LUCA G. 03-2026, giorno 23" display="1"/>
    <hyperlink ref="A23" location="'DE LUCA G. 03-2026'!A37" tooltip="Apri la scheda: DE LUCA G. 03-2026, giorno 24" display="1"/>
    <hyperlink ref="A24" location="'DE LUCA G. 03-2026'!A38" tooltip="Apri la scheda: DE LUCA G. 03-2026, giorno 25" display="1"/>
    <hyperlink ref="A25" location="'DE LUCA G. 03-2026'!A39" tooltip="Apri la scheda: DE LUCA G. 03-2026, giorno 26" display="1"/>
    <hyperlink ref="A26" location="'DE LUCA G. 03-2026'!A40" tooltip="Apri la scheda: DE LUCA G. 03-2026, giorno 27" display="1"/>
    <hyperlink ref="A27" location="'DE LUCA G. 03-2026'!A43" tooltip="Apri la scheda: DE LUCA G. 03-2026, giorno 30" display="1"/>
    <hyperlink ref="A28" location="'DE LUCA G. 03-2026'!A44" tooltip="Apri la scheda: DE LUCA G. 03-2026, giorno 31" display="1"/>
    <hyperlink ref="A29" location="'ESPOSITO A. 02-2026'!A15" tooltip="Apri la scheda: ESPOSITO A. 02-2026, giorno 2" display="2"/>
    <hyperlink ref="A30" location="'ESPOSITO A. 02-2026'!A16" tooltip="Apri la scheda: ESPOSITO A. 02-2026, giorno 3" display="2"/>
    <hyperlink ref="A31" location="'ESPOSITO A. 02-2026'!A18" tooltip="Apri la scheda: ESPOSITO A. 02-2026, giorno 5" display="2"/>
    <hyperlink ref="A32" location="'ESPOSITO A. 02-2026'!A19" tooltip="Apri la scheda: ESPOSITO A. 02-2026, giorno 6" display="2"/>
    <hyperlink ref="A33" location="'ESPOSITO A. 02-2026'!A22" tooltip="Apri la scheda: ESPOSITO A. 02-2026, giorno 9" display="2"/>
    <hyperlink ref="A34" location="'ESPOSITO A. 02-2026'!A23" tooltip="Apri la scheda: ESPOSITO A. 02-2026, giorno 10" display="2"/>
    <hyperlink ref="A35" location="'ESPOSITO A. 02-2026'!A25" tooltip="Apri la scheda: ESPOSITO A. 02-2026, giorno 12" display="2"/>
    <hyperlink ref="A36" location="'ESPOSITO A. 02-2026'!A26" tooltip="Apri la scheda: ESPOSITO A. 02-2026, giorno 13" display="2"/>
    <hyperlink ref="A37" location="'ESPOSITO A. 02-2026'!A29" tooltip="Apri la scheda: ESPOSITO A. 02-2026, giorno 16" display="2"/>
    <hyperlink ref="A38" location="'ESPOSITO A. 02-2026'!A30" tooltip="Apri la scheda: ESPOSITO A. 02-2026, giorno 17" display="2"/>
    <hyperlink ref="A39" location="'ESPOSITO A. 02-2026'!A32" tooltip="Apri la scheda: ESPOSITO A. 02-2026, giorno 19" display="2"/>
    <hyperlink ref="A40" location="'ESPOSITO A. 02-2026'!A33" tooltip="Apri la scheda: ESPOSITO A. 02-2026, giorno 20" display="2"/>
    <hyperlink ref="A41" location="'ESPOSITO A. 02-2026'!A36" tooltip="Apri la scheda: ESPOSITO A. 02-2026, giorno 23" display="2"/>
    <hyperlink ref="A42" location="'ESPOSITO A. 02-2026'!A37" tooltip="Apri la scheda: ESPOSITO A. 02-2026, giorno 24" display="2"/>
    <hyperlink ref="A43" location="'ESPOSITO A. 02-2026'!A39" tooltip="Apri la scheda: ESPOSITO A. 02-2026, giorno 26" display="2"/>
    <hyperlink ref="A44" location="'ESPOSITO A. 02-2026'!A40" tooltip="Apri la scheda: ESPOSITO A. 02-2026, giorno 27" display="2"/>
    <hyperlink ref="A45" location="'ROSSI M. 02-2026'!A15" tooltip="Apri la scheda: ROSSI M. 02-2026, giorno 2" display="3"/>
    <hyperlink ref="A46" location="'ROSSI M. 02-2026'!A16" tooltip="Apri la scheda: ROSSI M. 02-2026, giorno 3" display="3"/>
    <hyperlink ref="A47" location="'ROSSI M. 02-2026'!A17" tooltip="Apri la scheda: ROSSI M. 02-2026, giorno 4" display="3"/>
    <hyperlink ref="A48" location="'ROSSI M. 02-2026'!A18" tooltip="Apri la scheda: ROSSI M. 02-2026, giorno 5" display="3"/>
    <hyperlink ref="A49" location="'ROSSI M. 02-2026'!A19" tooltip="Apri la scheda: ROSSI M. 02-2026, giorno 6" display="3"/>
    <hyperlink ref="A50" location="'ROSSI M. 02-2026'!A22" tooltip="Apri la scheda: ROSSI M. 02-2026, giorno 9" display="3"/>
    <hyperlink ref="A51" location="'ROSSI M. 02-2026'!A23" tooltip="Apri la scheda: ROSSI M. 02-2026, giorno 10" display="3"/>
    <hyperlink ref="A52" location="'ROSSI M. 02-2026'!A24" tooltip="Apri la scheda: ROSSI M. 02-2026, giorno 11" display="3"/>
    <hyperlink ref="A53" location="'ROSSI M. 02-2026'!A25" tooltip="Apri la scheda: ROSSI M. 02-2026, giorno 12" display="3"/>
    <hyperlink ref="A54" location="'ROSSI M. 02-2026'!A26" tooltip="Apri la scheda: ROSSI M. 02-2026, giorno 13" display="3"/>
    <hyperlink ref="A55" location="'ROSSI M. 02-2026'!A29" tooltip="Apri la scheda: ROSSI M. 02-2026, giorno 16" display="3"/>
    <hyperlink ref="A56" location="'ROSSI M. 02-2026'!A30" tooltip="Apri la scheda: ROSSI M. 02-2026, giorno 17" display="3"/>
    <hyperlink ref="A57" location="'ROSSI M. 02-2026'!A31" tooltip="Apri la scheda: ROSSI M. 02-2026, giorno 18" display="3"/>
    <hyperlink ref="A58" location="'ROSSI M. 02-2026'!A32" tooltip="Apri la scheda: ROSSI M. 02-2026, giorno 19" display="3"/>
    <hyperlink ref="A59" location="'ROSSI M. 02-2026'!A33" tooltip="Apri la scheda: ROSSI M. 02-2026, giorno 20" display="3"/>
    <hyperlink ref="A60" location="'ROSSI M. 02-2026'!A36" tooltip="Apri la scheda: ROSSI M. 02-2026, giorno 23" display="3"/>
    <hyperlink ref="A61" location="'ROSSI M. 02-2026'!A37" tooltip="Apri la scheda: ROSSI M. 02-2026, giorno 24" display="3"/>
    <hyperlink ref="A62" location="'ROSSI M. 02-2026'!A38" tooltip="Apri la scheda: ROSSI M. 02-2026, giorno 25" display="3"/>
    <hyperlink ref="A63" location="'ROSSI M. 02-2026'!A39" tooltip="Apri la scheda: ROSSI M. 02-2026, giorno 26" display="3"/>
    <hyperlink ref="A64" location="'ROSSI M. 02-2026'!A40" tooltip="Apri la scheda: ROSSI M. 02-2026, giorno 27" display="3"/>
    <hyperlink ref="A65" location="'ROSSI M. 03-2026'!A15" tooltip="Apri la scheda: ROSSI M. 03-2026, giorno 2" display="4"/>
    <hyperlink ref="A66" location="'ROSSI M. 03-2026'!A16" tooltip="Apri la scheda: ROSSI M. 03-2026, giorno 3" display="4"/>
    <hyperlink ref="A67" location="'ROSSI M. 03-2026'!A17" tooltip="Apri la scheda: ROSSI M. 03-2026, giorno 4" display="4"/>
    <hyperlink ref="A68" location="'ROSSI M. 03-2026'!A18" tooltip="Apri la scheda: ROSSI M. 03-2026, giorno 5" display="4"/>
    <hyperlink ref="A69" location="'ROSSI M. 03-2026'!A19" tooltip="Apri la scheda: ROSSI M. 03-2026, giorno 6" display="4"/>
    <hyperlink ref="A70" location="'ROSSI M. 03-2026'!A22" tooltip="Apri la scheda: ROSSI M. 03-2026, giorno 9" display="4"/>
    <hyperlink ref="A71" location="'ROSSI M. 03-2026'!A23" tooltip="Apri la scheda: ROSSI M. 03-2026, giorno 10" display="4"/>
    <hyperlink ref="A72" location="'ROSSI M. 03-2026'!A24" tooltip="Apri la scheda: ROSSI M. 03-2026, giorno 11" display="4"/>
    <hyperlink ref="A73" location="'ROSSI M. 03-2026'!A25" tooltip="Apri la scheda: ROSSI M. 03-2026, giorno 12" display="4"/>
    <hyperlink ref="A74" location="'ROSSI M. 03-2026'!A26" tooltip="Apri la scheda: ROSSI M. 03-2026, giorno 13" display="4"/>
    <hyperlink ref="A75" location="'ROSSI M. 03-2026'!A29" tooltip="Apri la scheda: ROSSI M. 03-2026, giorno 16" display="4"/>
    <hyperlink ref="A76" location="'ROSSI M. 03-2026'!A30" tooltip="Apri la scheda: ROSSI M. 03-2026, giorno 17" display="4"/>
    <hyperlink ref="A77" location="'ROSSI M. 03-2026'!A31" tooltip="Apri la scheda: ROSSI M. 03-2026, giorno 18" display="4"/>
    <hyperlink ref="A78" location="'ROSSI M. 03-2026'!A32" tooltip="Apri la scheda: ROSSI M. 03-2026, giorno 19" display="4"/>
    <hyperlink ref="A79" location="'ROSSI M. 03-2026'!A33" tooltip="Apri la scheda: ROSSI M. 03-2026, giorno 20" display="4"/>
    <hyperlink ref="A80" location="'ROSSI M. 03-2026'!A36" tooltip="Apri la scheda: ROSSI M. 03-2026, giorno 23" display="4"/>
    <hyperlink ref="A81" location="'ROSSI M. 03-2026'!A37" tooltip="Apri la scheda: ROSSI M. 03-2026, giorno 24" display="4"/>
    <hyperlink ref="A82" location="'ROSSI M. 03-2026'!A38" tooltip="Apri la scheda: ROSSI M. 03-2026, giorno 25" display="4"/>
    <hyperlink ref="A83" location="'ROSSI M. 03-2026'!A39" tooltip="Apri la scheda: ROSSI M. 03-2026, giorno 26" display="4"/>
    <hyperlink ref="A84" location="'ROSSI M. 03-2026'!A40" tooltip="Apri la scheda: ROSSI M. 03-2026, giorno 27" display="4"/>
    <hyperlink ref="A85" location="'ROSSI M. 03-2026'!A43" tooltip="Apri la scheda: ROSSI M. 03-2026, giorno 30" display="4"/>
    <hyperlink ref="A86" location="'ROSSI M. 03-2026'!A44" tooltip="Apri la scheda: ROSSI M. 03-2026, giorno 31" display="4"/>
  </hyperlinks>
  <printOptions horizontalCentered="1"/>
  <pageMargins left="0.35" right="0.35" top="0.6" bottom="0.6" header="0.25" footer="0.25"/>
  <pageSetup paperSize="9" fitToHeight="0" orientation="landscape"/>
  <headerFooter>
    <oddHeader>&amp;L&amp;"Calibri,Regular"&amp;8&amp;K6B7280Sirio OCR · Rendicontazione Assistenza Specialistica&amp;R&amp;"Calibri,Regular"&amp;8&amp;K6B7280&amp;A</oddHeader>
    <oddFooter>&amp;L&amp;"Calibri,Regular"&amp;8&amp;K6B7280Generato il 10/10/2026 alle 17:01&amp;R&amp;"Calibri,Regular"&amp;8&amp;K6B7280Pagina &amp;P di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45309"/>
    <pageSetUpPr fitToPage="1"/>
  </sheetPr>
  <dimension ref="A1:Q71"/>
  <sheetViews>
    <sheetView showGridLines="0" workbookViewId="0">
      <pane ySplit="13" topLeftCell="A14" activePane="bottomLeft" state="frozen"/>
      <selection pane="bottomLeft"/>
    </sheetView>
  </sheetViews>
  <sheetFormatPr defaultRowHeight="18" customHeight="1"/>
  <cols>
    <col min="1" max="1" width="7.7109375" customWidth="1"/>
    <col min="2" max="2" width="11.7109375" customWidth="1"/>
    <col min="3" max="3" width="6.7109375" customWidth="1"/>
    <col min="4" max="7" width="9.28515625" customWidth="1"/>
    <col min="8" max="11" width="10.28515625" customWidth="1"/>
    <col min="12" max="12" width="22.7109375" customWidth="1"/>
    <col min="13" max="14" width="10.7109375" customWidth="1"/>
    <col min="15" max="15" width="11.28515625" customWidth="1"/>
    <col min="16" max="16" width="10.28515625" customWidth="1"/>
    <col min="17" max="17" width="44.7109375" customWidth="1"/>
  </cols>
  <sheetData>
    <row r="1" spans="1:17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3" t="s">
        <v>1</v>
      </c>
    </row>
    <row r="2" spans="1:17" ht="20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8" customHeight="1">
      <c r="Q4" s="74" t="s">
        <v>3</v>
      </c>
    </row>
    <row r="5" spans="1:17" ht="21" customHeight="1">
      <c r="A5" s="75" t="s">
        <v>4</v>
      </c>
      <c r="B5" s="75"/>
      <c r="C5" s="75"/>
      <c r="D5" s="76" t="s">
        <v>5</v>
      </c>
      <c r="E5" s="76"/>
      <c r="F5" s="76"/>
      <c r="G5" s="76"/>
      <c r="H5" s="76"/>
      <c r="I5" s="75" t="s">
        <v>6</v>
      </c>
      <c r="J5" s="75"/>
      <c r="K5" s="75"/>
      <c r="L5" s="77">
        <v>46082</v>
      </c>
      <c r="M5" s="77"/>
      <c r="N5" s="77"/>
      <c r="O5" s="78" t="s">
        <v>23</v>
      </c>
      <c r="P5" s="78"/>
      <c r="Q5" s="78"/>
    </row>
    <row r="6" spans="1:17" ht="21" customHeight="1">
      <c r="A6" s="75" t="s">
        <v>7</v>
      </c>
      <c r="B6" s="75"/>
      <c r="C6" s="75"/>
      <c r="D6" s="76" t="s">
        <v>8</v>
      </c>
      <c r="E6" s="76"/>
      <c r="F6" s="76"/>
      <c r="G6" s="76"/>
      <c r="H6" s="76"/>
      <c r="I6" s="75" t="s">
        <v>9</v>
      </c>
      <c r="J6" s="75"/>
      <c r="K6" s="75"/>
      <c r="L6" s="79">
        <v>10</v>
      </c>
      <c r="M6" s="79"/>
      <c r="N6" s="79"/>
      <c r="O6" s="80" t="s">
        <v>24</v>
      </c>
      <c r="P6" s="80"/>
      <c r="Q6" s="80"/>
    </row>
    <row r="7" spans="1:17" ht="21" customHeight="1">
      <c r="A7" s="75" t="s">
        <v>10</v>
      </c>
      <c r="B7" s="75"/>
      <c r="C7" s="75"/>
      <c r="D7" s="81" t="s">
        <v>11</v>
      </c>
      <c r="E7" s="81"/>
      <c r="F7" s="81"/>
      <c r="G7" s="81"/>
      <c r="H7" s="81"/>
      <c r="I7" s="75" t="s">
        <v>12</v>
      </c>
      <c r="J7" s="75"/>
      <c r="K7" s="75"/>
      <c r="L7" s="76" t="s">
        <v>13</v>
      </c>
      <c r="M7" s="76"/>
      <c r="N7" s="76"/>
      <c r="O7" s="80"/>
      <c r="P7" s="80"/>
      <c r="Q7" s="80"/>
    </row>
    <row r="8" spans="1:17" ht="21" customHeight="1">
      <c r="A8" s="75" t="s">
        <v>14</v>
      </c>
      <c r="B8" s="75"/>
      <c r="C8" s="75"/>
      <c r="D8" s="81" t="s">
        <v>15</v>
      </c>
      <c r="E8" s="81"/>
      <c r="F8" s="81"/>
      <c r="G8" s="81"/>
      <c r="H8" s="81"/>
      <c r="I8" s="75" t="s">
        <v>16</v>
      </c>
      <c r="J8" s="75"/>
      <c r="K8" s="75"/>
      <c r="L8" s="82">
        <v>46112</v>
      </c>
      <c r="M8" s="82"/>
      <c r="N8" s="82"/>
      <c r="O8" s="83" t="s">
        <v>25</v>
      </c>
      <c r="P8" s="83"/>
      <c r="Q8" s="83"/>
    </row>
    <row r="9" spans="1:17" ht="21" customHeight="1">
      <c r="A9" s="75" t="s">
        <v>17</v>
      </c>
      <c r="B9" s="75"/>
      <c r="C9" s="75"/>
      <c r="D9" s="84">
        <v>1</v>
      </c>
      <c r="E9" s="84"/>
      <c r="F9" s="84"/>
      <c r="G9" s="84"/>
      <c r="H9" s="84"/>
      <c r="I9" s="75" t="s">
        <v>18</v>
      </c>
      <c r="J9" s="75"/>
      <c r="K9" s="75"/>
      <c r="L9" s="85" t="s">
        <v>19</v>
      </c>
      <c r="M9" s="85"/>
      <c r="N9" s="85"/>
      <c r="O9" s="83" t="s">
        <v>26</v>
      </c>
      <c r="P9" s="83"/>
      <c r="Q9" s="83"/>
    </row>
    <row r="10" spans="1:17" ht="21" customHeight="1">
      <c r="A10" s="75" t="s">
        <v>20</v>
      </c>
      <c r="B10" s="75"/>
      <c r="C10" s="75"/>
      <c r="D10" s="84">
        <v>2</v>
      </c>
      <c r="E10" s="84"/>
      <c r="F10" s="84"/>
      <c r="G10" s="84"/>
      <c r="H10" s="84"/>
      <c r="I10" s="75" t="s">
        <v>21</v>
      </c>
      <c r="J10" s="75"/>
      <c r="K10" s="75"/>
      <c r="L10" s="86" t="s">
        <v>22</v>
      </c>
      <c r="M10" s="86"/>
      <c r="N10" s="86"/>
      <c r="O10" s="87" t="s">
        <v>27</v>
      </c>
      <c r="P10" s="87"/>
      <c r="Q10" s="87"/>
    </row>
    <row r="11" spans="1:17" ht="16" customHeight="1">
      <c r="M11" s="88" t="s">
        <v>28</v>
      </c>
      <c r="N11" s="88"/>
      <c r="O11" s="88"/>
      <c r="P11" s="88"/>
      <c r="Q11" s="88"/>
    </row>
    <row r="12" spans="1:17" ht="30" customHeight="1">
      <c r="A12" s="11" t="s">
        <v>29</v>
      </c>
      <c r="B12" s="11" t="s">
        <v>30</v>
      </c>
      <c r="C12" s="11" t="s">
        <v>31</v>
      </c>
      <c r="D12" s="11" t="s">
        <v>37</v>
      </c>
      <c r="E12" s="11"/>
      <c r="F12" s="11" t="s">
        <v>38</v>
      </c>
      <c r="G12" s="11"/>
      <c r="H12" s="11" t="s">
        <v>32</v>
      </c>
      <c r="I12" s="11" t="s">
        <v>33</v>
      </c>
      <c r="J12" s="11" t="s">
        <v>34</v>
      </c>
      <c r="K12" s="11" t="s">
        <v>35</v>
      </c>
      <c r="L12" s="11" t="s">
        <v>36</v>
      </c>
      <c r="M12" s="12" t="s">
        <v>41</v>
      </c>
      <c r="N12" s="12" t="s">
        <v>42</v>
      </c>
      <c r="O12" s="12" t="s">
        <v>43</v>
      </c>
      <c r="P12" s="12" t="s">
        <v>44</v>
      </c>
      <c r="Q12" s="12" t="s">
        <v>45</v>
      </c>
    </row>
    <row r="13" spans="1:17" ht="18" customHeight="1">
      <c r="A13" s="11"/>
      <c r="B13" s="11"/>
      <c r="C13" s="11"/>
      <c r="D13" s="11" t="s">
        <v>39</v>
      </c>
      <c r="E13" s="11" t="s">
        <v>40</v>
      </c>
      <c r="F13" s="11" t="s">
        <v>39</v>
      </c>
      <c r="G13" s="11" t="s">
        <v>40</v>
      </c>
      <c r="H13" s="11"/>
      <c r="I13" s="11"/>
      <c r="J13" s="11"/>
      <c r="K13" s="11"/>
      <c r="L13" s="11"/>
      <c r="M13" s="12"/>
      <c r="N13" s="12"/>
      <c r="O13" s="12"/>
      <c r="P13" s="12"/>
      <c r="Q13" s="12"/>
    </row>
    <row r="14" spans="1:17" ht="18" customHeight="1">
      <c r="A14" s="89">
        <v>1</v>
      </c>
      <c r="B14" s="90">
        <v>46082</v>
      </c>
      <c r="C14" s="91" t="s">
        <v>46</v>
      </c>
      <c r="D14" s="57"/>
      <c r="E14" s="57"/>
      <c r="F14" s="57"/>
      <c r="G14" s="57"/>
      <c r="H14" s="89"/>
      <c r="I14" s="89"/>
      <c r="J14" s="89"/>
      <c r="K14" s="57"/>
      <c r="L14" s="92"/>
      <c r="M14" s="59">
        <f>IF(AND(ISNUMBER(D14),ISNUMBER(E14)),IF(E14&gt;D14,(E14-D14)*24,""),"")</f>
        <v/>
      </c>
      <c r="N14" s="60">
        <f>IF(AND(ISNUMBER(F14),ISNUMBER(G14)),IF(G14&gt;F14,(G14-F14)*24,""),"")</f>
        <v/>
      </c>
      <c r="O14" s="61">
        <f>IF(J14="X",0,IF(ISNUMBER(H14),H14,IF(ISNUMBER(N14),N14,"")))</f>
        <v/>
      </c>
      <c r="P14" s="62">
        <f>IF(AND(ISNUMBER(H14),ISNUMBER(N14)),H14-N14,"")</f>
        <v/>
      </c>
      <c r="Q14" s="93" t="s">
        <v>47</v>
      </c>
    </row>
    <row r="15" spans="1:17" ht="18" customHeight="1">
      <c r="A15" s="23">
        <v>2</v>
      </c>
      <c r="B15" s="94">
        <v>46083</v>
      </c>
      <c r="C15" s="95" t="s">
        <v>48</v>
      </c>
      <c r="D15" s="43">
        <v>0.375</v>
      </c>
      <c r="E15" s="43">
        <v>0.4583333333333333</v>
      </c>
      <c r="F15" s="43">
        <v>0.375</v>
      </c>
      <c r="G15" s="43">
        <v>0.4583333333333333</v>
      </c>
      <c r="H15" s="96">
        <v>2</v>
      </c>
      <c r="I15" s="23"/>
      <c r="J15" s="23"/>
      <c r="K15" s="24" t="s">
        <v>13</v>
      </c>
      <c r="L15" s="97"/>
      <c r="M15" s="44">
        <f>IF(AND(ISNUMBER(D15),ISNUMBER(E15)),IF(E15&gt;D15,(E15-D15)*24,""),"")</f>
        <v>2.0</v>
      </c>
      <c r="N15" s="45">
        <f>IF(AND(ISNUMBER(F15),ISNUMBER(G15)),IF(G15&gt;F15,(G15-F15)*24,""),"")</f>
        <v>2.0</v>
      </c>
      <c r="O15" s="46">
        <f>IF(J15="X",0,IF(ISNUMBER(H15),H15,IF(ISNUMBER(N15),N15,"")))</f>
        <v>2.0</v>
      </c>
      <c r="P15" s="47">
        <f>IF(AND(ISNUMBER(H15),ISNUMBER(N15)),H15-N15,"")</f>
        <v>0.0</v>
      </c>
      <c r="Q15" s="98" t="s">
        <v>49</v>
      </c>
    </row>
    <row r="16" spans="1:17" ht="18" customHeight="1">
      <c r="A16" s="23">
        <v>3</v>
      </c>
      <c r="B16" s="94">
        <v>46084</v>
      </c>
      <c r="C16" s="95" t="s">
        <v>50</v>
      </c>
      <c r="D16" s="43">
        <v>0.375</v>
      </c>
      <c r="E16" s="43">
        <v>0.4583333333333333</v>
      </c>
      <c r="F16" s="43">
        <v>0.375</v>
      </c>
      <c r="G16" s="43">
        <v>0.4583333333333333</v>
      </c>
      <c r="H16" s="96">
        <v>2</v>
      </c>
      <c r="I16" s="23"/>
      <c r="J16" s="23"/>
      <c r="K16" s="24" t="s">
        <v>13</v>
      </c>
      <c r="L16" s="97"/>
      <c r="M16" s="44">
        <f>IF(AND(ISNUMBER(D16),ISNUMBER(E16)),IF(E16&gt;D16,(E16-D16)*24,""),"")</f>
        <v>2.0</v>
      </c>
      <c r="N16" s="45">
        <f>IF(AND(ISNUMBER(F16),ISNUMBER(G16)),IF(G16&gt;F16,(G16-F16)*24,""),"")</f>
        <v>2.0</v>
      </c>
      <c r="O16" s="46">
        <f>IF(J16="X",0,IF(ISNUMBER(H16),H16,IF(ISNUMBER(N16),N16,"")))</f>
        <v>2.0</v>
      </c>
      <c r="P16" s="47">
        <f>IF(AND(ISNUMBER(H16),ISNUMBER(N16)),H16-N16,"")</f>
        <v>0.0</v>
      </c>
      <c r="Q16" s="98" t="s">
        <v>49</v>
      </c>
    </row>
    <row r="17" spans="1:17" ht="18" customHeight="1">
      <c r="A17" s="23">
        <v>4</v>
      </c>
      <c r="B17" s="94">
        <v>46085</v>
      </c>
      <c r="C17" s="95" t="s">
        <v>51</v>
      </c>
      <c r="D17" s="43">
        <v>0.375</v>
      </c>
      <c r="E17" s="43">
        <v>0.4583333333333333</v>
      </c>
      <c r="F17" s="43">
        <v>0.375</v>
      </c>
      <c r="G17" s="43">
        <v>0.4583333333333333</v>
      </c>
      <c r="H17" s="96">
        <v>2</v>
      </c>
      <c r="I17" s="23"/>
      <c r="J17" s="23"/>
      <c r="K17" s="24" t="s">
        <v>13</v>
      </c>
      <c r="L17" s="97"/>
      <c r="M17" s="44">
        <f>IF(AND(ISNUMBER(D17),ISNUMBER(E17)),IF(E17&gt;D17,(E17-D17)*24,""),"")</f>
        <v>2.0</v>
      </c>
      <c r="N17" s="45">
        <f>IF(AND(ISNUMBER(F17),ISNUMBER(G17)),IF(G17&gt;F17,(G17-F17)*24,""),"")</f>
        <v>2.0</v>
      </c>
      <c r="O17" s="46">
        <f>IF(J17="X",0,IF(ISNUMBER(H17),H17,IF(ISNUMBER(N17),N17,"")))</f>
        <v>2.0</v>
      </c>
      <c r="P17" s="47">
        <f>IF(AND(ISNUMBER(H17),ISNUMBER(N17)),H17-N17,"")</f>
        <v>0.0</v>
      </c>
      <c r="Q17" s="98" t="s">
        <v>49</v>
      </c>
    </row>
    <row r="18" spans="1:17" ht="18" customHeight="1">
      <c r="A18" s="23">
        <v>5</v>
      </c>
      <c r="B18" s="94">
        <v>46086</v>
      </c>
      <c r="C18" s="95" t="s">
        <v>52</v>
      </c>
      <c r="D18" s="43">
        <v>0.375</v>
      </c>
      <c r="E18" s="43">
        <v>0.4583333333333333</v>
      </c>
      <c r="F18" s="43">
        <v>0.375</v>
      </c>
      <c r="G18" s="43">
        <v>0.4583333333333333</v>
      </c>
      <c r="H18" s="96">
        <v>2</v>
      </c>
      <c r="I18" s="23"/>
      <c r="J18" s="23"/>
      <c r="K18" s="24" t="s">
        <v>13</v>
      </c>
      <c r="L18" s="97"/>
      <c r="M18" s="44">
        <f>IF(AND(ISNUMBER(D18),ISNUMBER(E18)),IF(E18&gt;D18,(E18-D18)*24,""),"")</f>
        <v>2.0</v>
      </c>
      <c r="N18" s="45">
        <f>IF(AND(ISNUMBER(F18),ISNUMBER(G18)),IF(G18&gt;F18,(G18-F18)*24,""),"")</f>
        <v>2.0</v>
      </c>
      <c r="O18" s="46">
        <f>IF(J18="X",0,IF(ISNUMBER(H18),H18,IF(ISNUMBER(N18),N18,"")))</f>
        <v>2.0</v>
      </c>
      <c r="P18" s="47">
        <f>IF(AND(ISNUMBER(H18),ISNUMBER(N18)),H18-N18,"")</f>
        <v>0.0</v>
      </c>
      <c r="Q18" s="98" t="s">
        <v>49</v>
      </c>
    </row>
    <row r="19" spans="1:17" ht="18" customHeight="1">
      <c r="A19" s="23">
        <v>6</v>
      </c>
      <c r="B19" s="94">
        <v>46087</v>
      </c>
      <c r="C19" s="95" t="s">
        <v>53</v>
      </c>
      <c r="D19" s="43">
        <v>0.375</v>
      </c>
      <c r="E19" s="43">
        <v>0.4583333333333333</v>
      </c>
      <c r="F19" s="43">
        <v>0.375</v>
      </c>
      <c r="G19" s="43">
        <v>0.4583333333333333</v>
      </c>
      <c r="H19" s="96">
        <v>2</v>
      </c>
      <c r="I19" s="23"/>
      <c r="J19" s="23"/>
      <c r="K19" s="24" t="s">
        <v>13</v>
      </c>
      <c r="L19" s="97"/>
      <c r="M19" s="44">
        <f>IF(AND(ISNUMBER(D19),ISNUMBER(E19)),IF(E19&gt;D19,(E19-D19)*24,""),"")</f>
        <v>2.0</v>
      </c>
      <c r="N19" s="45">
        <f>IF(AND(ISNUMBER(F19),ISNUMBER(G19)),IF(G19&gt;F19,(G19-F19)*24,""),"")</f>
        <v>2.0</v>
      </c>
      <c r="O19" s="46">
        <f>IF(J19="X",0,IF(ISNUMBER(H19),H19,IF(ISNUMBER(N19),N19,"")))</f>
        <v>2.0</v>
      </c>
      <c r="P19" s="47">
        <f>IF(AND(ISNUMBER(H19),ISNUMBER(N19)),H19-N19,"")</f>
        <v>0.0</v>
      </c>
      <c r="Q19" s="98" t="s">
        <v>49</v>
      </c>
    </row>
    <row r="20" spans="1:17" ht="18" customHeight="1">
      <c r="A20" s="89">
        <v>7</v>
      </c>
      <c r="B20" s="90">
        <v>46088</v>
      </c>
      <c r="C20" s="99" t="s">
        <v>54</v>
      </c>
      <c r="D20" s="57"/>
      <c r="E20" s="57"/>
      <c r="F20" s="57"/>
      <c r="G20" s="57"/>
      <c r="H20" s="89"/>
      <c r="I20" s="89"/>
      <c r="J20" s="89"/>
      <c r="K20" s="57"/>
      <c r="L20" s="92"/>
      <c r="M20" s="59">
        <f>IF(AND(ISNUMBER(D20),ISNUMBER(E20)),IF(E20&gt;D20,(E20-D20)*24,""),"")</f>
        <v/>
      </c>
      <c r="N20" s="60">
        <f>IF(AND(ISNUMBER(F20),ISNUMBER(G20)),IF(G20&gt;F20,(G20-F20)*24,""),"")</f>
        <v/>
      </c>
      <c r="O20" s="61">
        <f>IF(J20="X",0,IF(ISNUMBER(H20),H20,IF(ISNUMBER(N20),N20,"")))</f>
        <v/>
      </c>
      <c r="P20" s="62">
        <f>IF(AND(ISNUMBER(H20),ISNUMBER(N20)),H20-N20,"")</f>
        <v/>
      </c>
      <c r="Q20" s="93" t="s">
        <v>55</v>
      </c>
    </row>
    <row r="21" spans="1:17" ht="18" customHeight="1">
      <c r="A21" s="89">
        <v>8</v>
      </c>
      <c r="B21" s="90">
        <v>46089</v>
      </c>
      <c r="C21" s="91" t="s">
        <v>46</v>
      </c>
      <c r="D21" s="57"/>
      <c r="E21" s="57"/>
      <c r="F21" s="57"/>
      <c r="G21" s="57"/>
      <c r="H21" s="89"/>
      <c r="I21" s="89"/>
      <c r="J21" s="89"/>
      <c r="K21" s="57"/>
      <c r="L21" s="92"/>
      <c r="M21" s="59">
        <f>IF(AND(ISNUMBER(D21),ISNUMBER(E21)),IF(E21&gt;D21,(E21-D21)*24,""),"")</f>
        <v/>
      </c>
      <c r="N21" s="60">
        <f>IF(AND(ISNUMBER(F21),ISNUMBER(G21)),IF(G21&gt;F21,(G21-F21)*24,""),"")</f>
        <v/>
      </c>
      <c r="O21" s="61">
        <f>IF(J21="X",0,IF(ISNUMBER(H21),H21,IF(ISNUMBER(N21),N21,"")))</f>
        <v/>
      </c>
      <c r="P21" s="62">
        <f>IF(AND(ISNUMBER(H21),ISNUMBER(N21)),H21-N21,"")</f>
        <v/>
      </c>
      <c r="Q21" s="93" t="s">
        <v>47</v>
      </c>
    </row>
    <row r="22" spans="1:17" ht="18" customHeight="1">
      <c r="A22" s="23">
        <v>9</v>
      </c>
      <c r="B22" s="94">
        <v>46090</v>
      </c>
      <c r="C22" s="95" t="s">
        <v>48</v>
      </c>
      <c r="D22" s="43">
        <v>0.375</v>
      </c>
      <c r="E22" s="43">
        <v>0.4583333333333333</v>
      </c>
      <c r="F22" s="43">
        <v>0.375</v>
      </c>
      <c r="G22" s="43">
        <v>0.4583333333333333</v>
      </c>
      <c r="H22" s="96">
        <v>2</v>
      </c>
      <c r="I22" s="23"/>
      <c r="J22" s="23"/>
      <c r="K22" s="24" t="s">
        <v>13</v>
      </c>
      <c r="L22" s="97"/>
      <c r="M22" s="44">
        <f>IF(AND(ISNUMBER(D22),ISNUMBER(E22)),IF(E22&gt;D22,(E22-D22)*24,""),"")</f>
        <v>2.0</v>
      </c>
      <c r="N22" s="45">
        <f>IF(AND(ISNUMBER(F22),ISNUMBER(G22)),IF(G22&gt;F22,(G22-F22)*24,""),"")</f>
        <v>2.0</v>
      </c>
      <c r="O22" s="46">
        <f>IF(J22="X",0,IF(ISNUMBER(H22),H22,IF(ISNUMBER(N22),N22,"")))</f>
        <v>2.0</v>
      </c>
      <c r="P22" s="47">
        <f>IF(AND(ISNUMBER(H22),ISNUMBER(N22)),H22-N22,"")</f>
        <v>0.0</v>
      </c>
      <c r="Q22" s="98" t="s">
        <v>49</v>
      </c>
    </row>
    <row r="23" spans="1:17" ht="18" customHeight="1">
      <c r="A23" s="23">
        <v>10</v>
      </c>
      <c r="B23" s="94">
        <v>46091</v>
      </c>
      <c r="C23" s="95" t="s">
        <v>50</v>
      </c>
      <c r="D23" s="43">
        <v>0.375</v>
      </c>
      <c r="E23" s="43">
        <v>0.4583333333333333</v>
      </c>
      <c r="F23" s="43">
        <v>0.375</v>
      </c>
      <c r="G23" s="43">
        <v>0.4583333333333333</v>
      </c>
      <c r="H23" s="96">
        <v>2</v>
      </c>
      <c r="I23" s="23"/>
      <c r="J23" s="23"/>
      <c r="K23" s="24" t="s">
        <v>13</v>
      </c>
      <c r="L23" s="97"/>
      <c r="M23" s="44">
        <f>IF(AND(ISNUMBER(D23),ISNUMBER(E23)),IF(E23&gt;D23,(E23-D23)*24,""),"")</f>
        <v>2.0</v>
      </c>
      <c r="N23" s="45">
        <f>IF(AND(ISNUMBER(F23),ISNUMBER(G23)),IF(G23&gt;F23,(G23-F23)*24,""),"")</f>
        <v>2.0</v>
      </c>
      <c r="O23" s="46">
        <f>IF(J23="X",0,IF(ISNUMBER(H23),H23,IF(ISNUMBER(N23),N23,"")))</f>
        <v>2.0</v>
      </c>
      <c r="P23" s="47">
        <f>IF(AND(ISNUMBER(H23),ISNUMBER(N23)),H23-N23,"")</f>
        <v>0.0</v>
      </c>
      <c r="Q23" s="98" t="s">
        <v>49</v>
      </c>
    </row>
    <row r="24" spans="1:17" ht="18" customHeight="1">
      <c r="A24" s="23">
        <v>11</v>
      </c>
      <c r="B24" s="94">
        <v>46092</v>
      </c>
      <c r="C24" s="95" t="s">
        <v>51</v>
      </c>
      <c r="D24" s="43">
        <v>0.375</v>
      </c>
      <c r="E24" s="43">
        <v>0.4583333333333333</v>
      </c>
      <c r="F24" s="43">
        <v>0.375</v>
      </c>
      <c r="G24" s="43">
        <v>0.4583333333333333</v>
      </c>
      <c r="H24" s="96">
        <v>2</v>
      </c>
      <c r="I24" s="23"/>
      <c r="J24" s="23"/>
      <c r="K24" s="24" t="s">
        <v>13</v>
      </c>
      <c r="L24" s="97"/>
      <c r="M24" s="44">
        <f>IF(AND(ISNUMBER(D24),ISNUMBER(E24)),IF(E24&gt;D24,(E24-D24)*24,""),"")</f>
        <v>2.0</v>
      </c>
      <c r="N24" s="45">
        <f>IF(AND(ISNUMBER(F24),ISNUMBER(G24)),IF(G24&gt;F24,(G24-F24)*24,""),"")</f>
        <v>2.0</v>
      </c>
      <c r="O24" s="46">
        <f>IF(J24="X",0,IF(ISNUMBER(H24),H24,IF(ISNUMBER(N24),N24,"")))</f>
        <v>2.0</v>
      </c>
      <c r="P24" s="47">
        <f>IF(AND(ISNUMBER(H24),ISNUMBER(N24)),H24-N24,"")</f>
        <v>0.0</v>
      </c>
      <c r="Q24" s="98" t="s">
        <v>49</v>
      </c>
    </row>
    <row r="25" spans="1:17" ht="18" customHeight="1">
      <c r="A25" s="23">
        <v>12</v>
      </c>
      <c r="B25" s="94">
        <v>46093</v>
      </c>
      <c r="C25" s="95" t="s">
        <v>52</v>
      </c>
      <c r="D25" s="43">
        <v>0.375</v>
      </c>
      <c r="E25" s="43">
        <v>0.4583333333333333</v>
      </c>
      <c r="F25" s="43">
        <v>0.375</v>
      </c>
      <c r="G25" s="43">
        <v>0.4583333333333333</v>
      </c>
      <c r="H25" s="96">
        <v>2</v>
      </c>
      <c r="I25" s="23"/>
      <c r="J25" s="23"/>
      <c r="K25" s="24" t="s">
        <v>13</v>
      </c>
      <c r="L25" s="97"/>
      <c r="M25" s="44">
        <f>IF(AND(ISNUMBER(D25),ISNUMBER(E25)),IF(E25&gt;D25,(E25-D25)*24,""),"")</f>
        <v>2.0</v>
      </c>
      <c r="N25" s="45">
        <f>IF(AND(ISNUMBER(F25),ISNUMBER(G25)),IF(G25&gt;F25,(G25-F25)*24,""),"")</f>
        <v>2.0</v>
      </c>
      <c r="O25" s="46">
        <f>IF(J25="X",0,IF(ISNUMBER(H25),H25,IF(ISNUMBER(N25),N25,"")))</f>
        <v>2.0</v>
      </c>
      <c r="P25" s="47">
        <f>IF(AND(ISNUMBER(H25),ISNUMBER(N25)),H25-N25,"")</f>
        <v>0.0</v>
      </c>
      <c r="Q25" s="98" t="s">
        <v>49</v>
      </c>
    </row>
    <row r="26" spans="1:17" ht="18" customHeight="1">
      <c r="A26" s="23">
        <v>13</v>
      </c>
      <c r="B26" s="94">
        <v>46094</v>
      </c>
      <c r="C26" s="95" t="s">
        <v>53</v>
      </c>
      <c r="D26" s="43">
        <v>0.375</v>
      </c>
      <c r="E26" s="43">
        <v>0.4583333333333333</v>
      </c>
      <c r="F26" s="43">
        <v>0.375</v>
      </c>
      <c r="G26" s="43">
        <v>0.4583333333333333</v>
      </c>
      <c r="H26" s="96">
        <v>2</v>
      </c>
      <c r="I26" s="23"/>
      <c r="J26" s="23"/>
      <c r="K26" s="24" t="s">
        <v>13</v>
      </c>
      <c r="L26" s="97"/>
      <c r="M26" s="44">
        <f>IF(AND(ISNUMBER(D26),ISNUMBER(E26)),IF(E26&gt;D26,(E26-D26)*24,""),"")</f>
        <v>2.0</v>
      </c>
      <c r="N26" s="45">
        <f>IF(AND(ISNUMBER(F26),ISNUMBER(G26)),IF(G26&gt;F26,(G26-F26)*24,""),"")</f>
        <v>2.0</v>
      </c>
      <c r="O26" s="46">
        <f>IF(J26="X",0,IF(ISNUMBER(H26),H26,IF(ISNUMBER(N26),N26,"")))</f>
        <v>2.0</v>
      </c>
      <c r="P26" s="47">
        <f>IF(AND(ISNUMBER(H26),ISNUMBER(N26)),H26-N26,"")</f>
        <v>0.0</v>
      </c>
      <c r="Q26" s="98" t="s">
        <v>49</v>
      </c>
    </row>
    <row r="27" spans="1:17" ht="18" customHeight="1">
      <c r="A27" s="89">
        <v>14</v>
      </c>
      <c r="B27" s="90">
        <v>46095</v>
      </c>
      <c r="C27" s="99" t="s">
        <v>54</v>
      </c>
      <c r="D27" s="57"/>
      <c r="E27" s="57"/>
      <c r="F27" s="58">
        <v>0.375</v>
      </c>
      <c r="G27" s="58">
        <v>0.4583333333333333</v>
      </c>
      <c r="H27" s="100">
        <v>2</v>
      </c>
      <c r="I27" s="89"/>
      <c r="J27" s="89"/>
      <c r="K27" s="57" t="s">
        <v>13</v>
      </c>
      <c r="L27" s="92" t="s">
        <v>56</v>
      </c>
      <c r="M27" s="59">
        <f>IF(AND(ISNUMBER(D27),ISNUMBER(E27)),IF(E27&gt;D27,(E27-D27)*24,""),"")</f>
        <v/>
      </c>
      <c r="N27" s="60">
        <f>IF(AND(ISNUMBER(F27),ISNUMBER(G27)),IF(G27&gt;F27,(G27-F27)*24,""),"")</f>
        <v>2.0</v>
      </c>
      <c r="O27" s="61">
        <f>IF(J27="X",0,IF(ISNUMBER(H27),H27,IF(ISNUMBER(N27),N27,"")))</f>
        <v>2.0</v>
      </c>
      <c r="P27" s="62">
        <f>IF(AND(ISNUMBER(H27),ISNUMBER(N27)),H27-N27,"")</f>
        <v>0.0</v>
      </c>
      <c r="Q27" s="101" t="s">
        <v>49</v>
      </c>
    </row>
    <row r="28" spans="1:17" ht="18" customHeight="1">
      <c r="A28" s="89">
        <v>15</v>
      </c>
      <c r="B28" s="90">
        <v>46096</v>
      </c>
      <c r="C28" s="91" t="s">
        <v>46</v>
      </c>
      <c r="D28" s="57"/>
      <c r="E28" s="57"/>
      <c r="F28" s="57"/>
      <c r="G28" s="57"/>
      <c r="H28" s="89"/>
      <c r="I28" s="89"/>
      <c r="J28" s="89"/>
      <c r="K28" s="57"/>
      <c r="L28" s="92"/>
      <c r="M28" s="59">
        <f>IF(AND(ISNUMBER(D28),ISNUMBER(E28)),IF(E28&gt;D28,(E28-D28)*24,""),"")</f>
        <v/>
      </c>
      <c r="N28" s="60">
        <f>IF(AND(ISNUMBER(F28),ISNUMBER(G28)),IF(G28&gt;F28,(G28-F28)*24,""),"")</f>
        <v/>
      </c>
      <c r="O28" s="61">
        <f>IF(J28="X",0,IF(ISNUMBER(H28),H28,IF(ISNUMBER(N28),N28,"")))</f>
        <v/>
      </c>
      <c r="P28" s="62">
        <f>IF(AND(ISNUMBER(H28),ISNUMBER(N28)),H28-N28,"")</f>
        <v/>
      </c>
      <c r="Q28" s="93" t="s">
        <v>47</v>
      </c>
    </row>
    <row r="29" spans="1:17" ht="18" customHeight="1">
      <c r="A29" s="23">
        <v>16</v>
      </c>
      <c r="B29" s="94">
        <v>46097</v>
      </c>
      <c r="C29" s="95" t="s">
        <v>48</v>
      </c>
      <c r="D29" s="43">
        <v>0.375</v>
      </c>
      <c r="E29" s="43">
        <v>0.4583333333333333</v>
      </c>
      <c r="F29" s="43">
        <v>0.375</v>
      </c>
      <c r="G29" s="43">
        <v>0.4583333333333333</v>
      </c>
      <c r="H29" s="96">
        <v>2</v>
      </c>
      <c r="I29" s="23"/>
      <c r="J29" s="23"/>
      <c r="K29" s="24" t="s">
        <v>13</v>
      </c>
      <c r="L29" s="97"/>
      <c r="M29" s="44">
        <f>IF(AND(ISNUMBER(D29),ISNUMBER(E29)),IF(E29&gt;D29,(E29-D29)*24,""),"")</f>
        <v>2.0</v>
      </c>
      <c r="N29" s="45">
        <f>IF(AND(ISNUMBER(F29),ISNUMBER(G29)),IF(G29&gt;F29,(G29-F29)*24,""),"")</f>
        <v>2.0</v>
      </c>
      <c r="O29" s="46">
        <f>IF(J29="X",0,IF(ISNUMBER(H29),H29,IF(ISNUMBER(N29),N29,"")))</f>
        <v>2.0</v>
      </c>
      <c r="P29" s="47">
        <f>IF(AND(ISNUMBER(H29),ISNUMBER(N29)),H29-N29,"")</f>
        <v>0.0</v>
      </c>
      <c r="Q29" s="98" t="s">
        <v>49</v>
      </c>
    </row>
    <row r="30" spans="1:17" ht="18" customHeight="1">
      <c r="A30" s="23">
        <v>17</v>
      </c>
      <c r="B30" s="94">
        <v>46098</v>
      </c>
      <c r="C30" s="95" t="s">
        <v>50</v>
      </c>
      <c r="D30" s="43">
        <v>0.375</v>
      </c>
      <c r="E30" s="43">
        <v>0.4583333333333333</v>
      </c>
      <c r="F30" s="43">
        <v>0.375</v>
      </c>
      <c r="G30" s="43">
        <v>0.4583333333333333</v>
      </c>
      <c r="H30" s="96">
        <v>2</v>
      </c>
      <c r="I30" s="23"/>
      <c r="J30" s="23"/>
      <c r="K30" s="24" t="s">
        <v>13</v>
      </c>
      <c r="L30" s="97"/>
      <c r="M30" s="44">
        <f>IF(AND(ISNUMBER(D30),ISNUMBER(E30)),IF(E30&gt;D30,(E30-D30)*24,""),"")</f>
        <v>2.0</v>
      </c>
      <c r="N30" s="45">
        <f>IF(AND(ISNUMBER(F30),ISNUMBER(G30)),IF(G30&gt;F30,(G30-F30)*24,""),"")</f>
        <v>2.0</v>
      </c>
      <c r="O30" s="46">
        <f>IF(J30="X",0,IF(ISNUMBER(H30),H30,IF(ISNUMBER(N30),N30,"")))</f>
        <v>2.0</v>
      </c>
      <c r="P30" s="47">
        <f>IF(AND(ISNUMBER(H30),ISNUMBER(N30)),H30-N30,"")</f>
        <v>0.0</v>
      </c>
      <c r="Q30" s="98" t="s">
        <v>49</v>
      </c>
    </row>
    <row r="31" spans="1:17" ht="18" customHeight="1">
      <c r="A31" s="23">
        <v>18</v>
      </c>
      <c r="B31" s="94">
        <v>46099</v>
      </c>
      <c r="C31" s="95" t="s">
        <v>51</v>
      </c>
      <c r="D31" s="43">
        <v>0.375</v>
      </c>
      <c r="E31" s="43">
        <v>0.4583333333333333</v>
      </c>
      <c r="F31" s="43">
        <v>0.375</v>
      </c>
      <c r="G31" s="43">
        <v>0.4583333333333333</v>
      </c>
      <c r="H31" s="96">
        <v>2</v>
      </c>
      <c r="I31" s="23"/>
      <c r="J31" s="23"/>
      <c r="K31" s="24" t="s">
        <v>13</v>
      </c>
      <c r="L31" s="97"/>
      <c r="M31" s="44">
        <f>IF(AND(ISNUMBER(D31),ISNUMBER(E31)),IF(E31&gt;D31,(E31-D31)*24,""),"")</f>
        <v>2.0</v>
      </c>
      <c r="N31" s="45">
        <f>IF(AND(ISNUMBER(F31),ISNUMBER(G31)),IF(G31&gt;F31,(G31-F31)*24,""),"")</f>
        <v>2.0</v>
      </c>
      <c r="O31" s="46">
        <f>IF(J31="X",0,IF(ISNUMBER(H31),H31,IF(ISNUMBER(N31),N31,"")))</f>
        <v>2.0</v>
      </c>
      <c r="P31" s="47">
        <f>IF(AND(ISNUMBER(H31),ISNUMBER(N31)),H31-N31,"")</f>
        <v>0.0</v>
      </c>
      <c r="Q31" s="98" t="s">
        <v>49</v>
      </c>
    </row>
    <row r="32" spans="1:17" ht="18" customHeight="1">
      <c r="A32" s="23">
        <v>19</v>
      </c>
      <c r="B32" s="94">
        <v>46100</v>
      </c>
      <c r="C32" s="95" t="s">
        <v>52</v>
      </c>
      <c r="D32" s="43">
        <v>0.375</v>
      </c>
      <c r="E32" s="43">
        <v>0.4583333333333333</v>
      </c>
      <c r="F32" s="43">
        <v>0.375</v>
      </c>
      <c r="G32" s="43">
        <v>0.4583333333333333</v>
      </c>
      <c r="H32" s="96">
        <v>2</v>
      </c>
      <c r="I32" s="23"/>
      <c r="J32" s="23"/>
      <c r="K32" s="24" t="s">
        <v>13</v>
      </c>
      <c r="L32" s="97"/>
      <c r="M32" s="44">
        <f>IF(AND(ISNUMBER(D32),ISNUMBER(E32)),IF(E32&gt;D32,(E32-D32)*24,""),"")</f>
        <v>2.0</v>
      </c>
      <c r="N32" s="45">
        <f>IF(AND(ISNUMBER(F32),ISNUMBER(G32)),IF(G32&gt;F32,(G32-F32)*24,""),"")</f>
        <v>2.0</v>
      </c>
      <c r="O32" s="46">
        <f>IF(J32="X",0,IF(ISNUMBER(H32),H32,IF(ISNUMBER(N32),N32,"")))</f>
        <v>2.0</v>
      </c>
      <c r="P32" s="47">
        <f>IF(AND(ISNUMBER(H32),ISNUMBER(N32)),H32-N32,"")</f>
        <v>0.0</v>
      </c>
      <c r="Q32" s="98" t="s">
        <v>49</v>
      </c>
    </row>
    <row r="33" spans="1:17" ht="18" customHeight="1">
      <c r="A33" s="23">
        <v>20</v>
      </c>
      <c r="B33" s="94">
        <v>46101</v>
      </c>
      <c r="C33" s="95" t="s">
        <v>53</v>
      </c>
      <c r="D33" s="43">
        <v>0.375</v>
      </c>
      <c r="E33" s="43">
        <v>0.4583333333333333</v>
      </c>
      <c r="F33" s="43">
        <v>0.375</v>
      </c>
      <c r="G33" s="43">
        <v>0.46875</v>
      </c>
      <c r="H33" s="96">
        <v>2.25</v>
      </c>
      <c r="I33" s="23"/>
      <c r="J33" s="23"/>
      <c r="K33" s="24" t="s">
        <v>13</v>
      </c>
      <c r="L33" s="97"/>
      <c r="M33" s="44">
        <f>IF(AND(ISNUMBER(D33),ISNUMBER(E33)),IF(E33&gt;D33,(E33-D33)*24,""),"")</f>
        <v>2.0</v>
      </c>
      <c r="N33" s="45">
        <f>IF(AND(ISNUMBER(F33),ISNUMBER(G33)),IF(G33&gt;F33,(G33-F33)*24,""),"")</f>
        <v>2.25</v>
      </c>
      <c r="O33" s="46">
        <f>IF(J33="X",0,IF(ISNUMBER(H33),H33,IF(ISNUMBER(N33),N33,"")))</f>
        <v>2.25</v>
      </c>
      <c r="P33" s="47">
        <f>IF(AND(ISNUMBER(H33),ISNUMBER(N33)),H33-N33,"")</f>
        <v>0.0</v>
      </c>
      <c r="Q33" s="98" t="s">
        <v>49</v>
      </c>
    </row>
    <row r="34" spans="1:17" ht="18" customHeight="1">
      <c r="A34" s="89">
        <v>21</v>
      </c>
      <c r="B34" s="90">
        <v>46102</v>
      </c>
      <c r="C34" s="99" t="s">
        <v>54</v>
      </c>
      <c r="D34" s="57"/>
      <c r="E34" s="57"/>
      <c r="F34" s="57"/>
      <c r="G34" s="57"/>
      <c r="H34" s="89"/>
      <c r="I34" s="89"/>
      <c r="J34" s="89"/>
      <c r="K34" s="57"/>
      <c r="L34" s="92"/>
      <c r="M34" s="59">
        <f>IF(AND(ISNUMBER(D34),ISNUMBER(E34)),IF(E34&gt;D34,(E34-D34)*24,""),"")</f>
        <v/>
      </c>
      <c r="N34" s="60">
        <f>IF(AND(ISNUMBER(F34),ISNUMBER(G34)),IF(G34&gt;F34,(G34-F34)*24,""),"")</f>
        <v/>
      </c>
      <c r="O34" s="61">
        <f>IF(J34="X",0,IF(ISNUMBER(H34),H34,IF(ISNUMBER(N34),N34,"")))</f>
        <v/>
      </c>
      <c r="P34" s="62">
        <f>IF(AND(ISNUMBER(H34),ISNUMBER(N34)),H34-N34,"")</f>
        <v/>
      </c>
      <c r="Q34" s="93" t="s">
        <v>55</v>
      </c>
    </row>
    <row r="35" spans="1:17" ht="18" customHeight="1">
      <c r="A35" s="89">
        <v>22</v>
      </c>
      <c r="B35" s="90">
        <v>46103</v>
      </c>
      <c r="C35" s="91" t="s">
        <v>46</v>
      </c>
      <c r="D35" s="57"/>
      <c r="E35" s="57"/>
      <c r="F35" s="57"/>
      <c r="G35" s="57"/>
      <c r="H35" s="89"/>
      <c r="I35" s="89"/>
      <c r="J35" s="89"/>
      <c r="K35" s="57"/>
      <c r="L35" s="92"/>
      <c r="M35" s="59">
        <f>IF(AND(ISNUMBER(D35),ISNUMBER(E35)),IF(E35&gt;D35,(E35-D35)*24,""),"")</f>
        <v/>
      </c>
      <c r="N35" s="60">
        <f>IF(AND(ISNUMBER(F35),ISNUMBER(G35)),IF(G35&gt;F35,(G35-F35)*24,""),"")</f>
        <v/>
      </c>
      <c r="O35" s="61">
        <f>IF(J35="X",0,IF(ISNUMBER(H35),H35,IF(ISNUMBER(N35),N35,"")))</f>
        <v/>
      </c>
      <c r="P35" s="62">
        <f>IF(AND(ISNUMBER(H35),ISNUMBER(N35)),H35-N35,"")</f>
        <v/>
      </c>
      <c r="Q35" s="93" t="s">
        <v>47</v>
      </c>
    </row>
    <row r="36" spans="1:17" ht="18" customHeight="1">
      <c r="A36" s="23">
        <v>23</v>
      </c>
      <c r="B36" s="94">
        <v>46104</v>
      </c>
      <c r="C36" s="95" t="s">
        <v>48</v>
      </c>
      <c r="D36" s="43">
        <v>0.375</v>
      </c>
      <c r="E36" s="43">
        <v>0.4583333333333333</v>
      </c>
      <c r="F36" s="43">
        <v>0.375</v>
      </c>
      <c r="G36" s="43">
        <v>0.4583333333333333</v>
      </c>
      <c r="H36" s="96">
        <v>2</v>
      </c>
      <c r="I36" s="23"/>
      <c r="J36" s="23"/>
      <c r="K36" s="24" t="s">
        <v>13</v>
      </c>
      <c r="L36" s="97"/>
      <c r="M36" s="44">
        <f>IF(AND(ISNUMBER(D36),ISNUMBER(E36)),IF(E36&gt;D36,(E36-D36)*24,""),"")</f>
        <v>2.0</v>
      </c>
      <c r="N36" s="45">
        <f>IF(AND(ISNUMBER(F36),ISNUMBER(G36)),IF(G36&gt;F36,(G36-F36)*24,""),"")</f>
        <v>2.0</v>
      </c>
      <c r="O36" s="46">
        <f>IF(J36="X",0,IF(ISNUMBER(H36),H36,IF(ISNUMBER(N36),N36,"")))</f>
        <v>2.0</v>
      </c>
      <c r="P36" s="47">
        <f>IF(AND(ISNUMBER(H36),ISNUMBER(N36)),H36-N36,"")</f>
        <v>0.0</v>
      </c>
      <c r="Q36" s="98" t="s">
        <v>49</v>
      </c>
    </row>
    <row r="37" spans="1:17" ht="18" customHeight="1">
      <c r="A37" s="23">
        <v>24</v>
      </c>
      <c r="B37" s="94">
        <v>46105</v>
      </c>
      <c r="C37" s="95" t="s">
        <v>50</v>
      </c>
      <c r="D37" s="43">
        <v>0.375</v>
      </c>
      <c r="E37" s="43">
        <v>0.4583333333333333</v>
      </c>
      <c r="F37" s="43">
        <v>0.375</v>
      </c>
      <c r="G37" s="43">
        <v>0.4583333333333333</v>
      </c>
      <c r="H37" s="96">
        <v>2</v>
      </c>
      <c r="I37" s="23"/>
      <c r="J37" s="23"/>
      <c r="K37" s="24" t="s">
        <v>13</v>
      </c>
      <c r="L37" s="97"/>
      <c r="M37" s="44">
        <f>IF(AND(ISNUMBER(D37),ISNUMBER(E37)),IF(E37&gt;D37,(E37-D37)*24,""),"")</f>
        <v>2.0</v>
      </c>
      <c r="N37" s="45">
        <f>IF(AND(ISNUMBER(F37),ISNUMBER(G37)),IF(G37&gt;F37,(G37-F37)*24,""),"")</f>
        <v>2.0</v>
      </c>
      <c r="O37" s="46">
        <f>IF(J37="X",0,IF(ISNUMBER(H37),H37,IF(ISNUMBER(N37),N37,"")))</f>
        <v>2.0</v>
      </c>
      <c r="P37" s="47">
        <f>IF(AND(ISNUMBER(H37),ISNUMBER(N37)),H37-N37,"")</f>
        <v>0.0</v>
      </c>
      <c r="Q37" s="98" t="s">
        <v>49</v>
      </c>
    </row>
    <row r="38" spans="1:17" ht="18" customHeight="1">
      <c r="A38" s="23">
        <v>25</v>
      </c>
      <c r="B38" s="94">
        <v>46106</v>
      </c>
      <c r="C38" s="95" t="s">
        <v>51</v>
      </c>
      <c r="D38" s="43">
        <v>0.375</v>
      </c>
      <c r="E38" s="43">
        <v>0.4583333333333333</v>
      </c>
      <c r="F38" s="43">
        <v>0.375</v>
      </c>
      <c r="G38" s="43">
        <v>0.4583333333333333</v>
      </c>
      <c r="H38" s="96">
        <v>2</v>
      </c>
      <c r="I38" s="23"/>
      <c r="J38" s="23"/>
      <c r="K38" s="24" t="s">
        <v>13</v>
      </c>
      <c r="L38" s="97"/>
      <c r="M38" s="44">
        <f>IF(AND(ISNUMBER(D38),ISNUMBER(E38)),IF(E38&gt;D38,(E38-D38)*24,""),"")</f>
        <v>2.0</v>
      </c>
      <c r="N38" s="45">
        <f>IF(AND(ISNUMBER(F38),ISNUMBER(G38)),IF(G38&gt;F38,(G38-F38)*24,""),"")</f>
        <v>2.0</v>
      </c>
      <c r="O38" s="46">
        <f>IF(J38="X",0,IF(ISNUMBER(H38),H38,IF(ISNUMBER(N38),N38,"")))</f>
        <v>2.0</v>
      </c>
      <c r="P38" s="47">
        <f>IF(AND(ISNUMBER(H38),ISNUMBER(N38)),H38-N38,"")</f>
        <v>0.0</v>
      </c>
      <c r="Q38" s="98" t="s">
        <v>49</v>
      </c>
    </row>
    <row r="39" spans="1:17" ht="18" customHeight="1">
      <c r="A39" s="23">
        <v>26</v>
      </c>
      <c r="B39" s="94">
        <v>46107</v>
      </c>
      <c r="C39" s="95" t="s">
        <v>52</v>
      </c>
      <c r="D39" s="43">
        <v>0.375</v>
      </c>
      <c r="E39" s="43">
        <v>0.4583333333333333</v>
      </c>
      <c r="F39" s="43">
        <v>0.375</v>
      </c>
      <c r="G39" s="43">
        <v>0.4583333333333333</v>
      </c>
      <c r="H39" s="96">
        <v>2</v>
      </c>
      <c r="I39" s="23"/>
      <c r="J39" s="23"/>
      <c r="K39" s="24" t="s">
        <v>13</v>
      </c>
      <c r="L39" s="97"/>
      <c r="M39" s="44">
        <f>IF(AND(ISNUMBER(D39),ISNUMBER(E39)),IF(E39&gt;D39,(E39-D39)*24,""),"")</f>
        <v>2.0</v>
      </c>
      <c r="N39" s="45">
        <f>IF(AND(ISNUMBER(F39),ISNUMBER(G39)),IF(G39&gt;F39,(G39-F39)*24,""),"")</f>
        <v>2.0</v>
      </c>
      <c r="O39" s="46">
        <f>IF(J39="X",0,IF(ISNUMBER(H39),H39,IF(ISNUMBER(N39),N39,"")))</f>
        <v>2.0</v>
      </c>
      <c r="P39" s="47">
        <f>IF(AND(ISNUMBER(H39),ISNUMBER(N39)),H39-N39,"")</f>
        <v>0.0</v>
      </c>
      <c r="Q39" s="98" t="s">
        <v>49</v>
      </c>
    </row>
    <row r="40" spans="1:17" ht="18" customHeight="1">
      <c r="A40" s="23">
        <v>27</v>
      </c>
      <c r="B40" s="94">
        <v>46108</v>
      </c>
      <c r="C40" s="95" t="s">
        <v>53</v>
      </c>
      <c r="D40" s="43">
        <v>0.375</v>
      </c>
      <c r="E40" s="43">
        <v>0.4583333333333333</v>
      </c>
      <c r="F40" s="43">
        <v>0.375</v>
      </c>
      <c r="G40" s="43">
        <v>0.4583333333333333</v>
      </c>
      <c r="H40" s="96">
        <v>2</v>
      </c>
      <c r="I40" s="23"/>
      <c r="J40" s="23"/>
      <c r="K40" s="24" t="s">
        <v>13</v>
      </c>
      <c r="L40" s="97"/>
      <c r="M40" s="44">
        <f>IF(AND(ISNUMBER(D40),ISNUMBER(E40)),IF(E40&gt;D40,(E40-D40)*24,""),"")</f>
        <v>2.0</v>
      </c>
      <c r="N40" s="45">
        <f>IF(AND(ISNUMBER(F40),ISNUMBER(G40)),IF(G40&gt;F40,(G40-F40)*24,""),"")</f>
        <v>2.0</v>
      </c>
      <c r="O40" s="46">
        <f>IF(J40="X",0,IF(ISNUMBER(H40),H40,IF(ISNUMBER(N40),N40,"")))</f>
        <v>2.0</v>
      </c>
      <c r="P40" s="47">
        <f>IF(AND(ISNUMBER(H40),ISNUMBER(N40)),H40-N40,"")</f>
        <v>0.0</v>
      </c>
      <c r="Q40" s="98" t="s">
        <v>49</v>
      </c>
    </row>
    <row r="41" spans="1:17" ht="18" customHeight="1">
      <c r="A41" s="89">
        <v>28</v>
      </c>
      <c r="B41" s="90">
        <v>46109</v>
      </c>
      <c r="C41" s="99" t="s">
        <v>54</v>
      </c>
      <c r="D41" s="57"/>
      <c r="E41" s="57"/>
      <c r="F41" s="57"/>
      <c r="G41" s="57"/>
      <c r="H41" s="89"/>
      <c r="I41" s="89"/>
      <c r="J41" s="89"/>
      <c r="K41" s="57"/>
      <c r="L41" s="92"/>
      <c r="M41" s="59">
        <f>IF(AND(ISNUMBER(D41),ISNUMBER(E41)),IF(E41&gt;D41,(E41-D41)*24,""),"")</f>
        <v/>
      </c>
      <c r="N41" s="60">
        <f>IF(AND(ISNUMBER(F41),ISNUMBER(G41)),IF(G41&gt;F41,(G41-F41)*24,""),"")</f>
        <v/>
      </c>
      <c r="O41" s="61">
        <f>IF(J41="X",0,IF(ISNUMBER(H41),H41,IF(ISNUMBER(N41),N41,"")))</f>
        <v/>
      </c>
      <c r="P41" s="62">
        <f>IF(AND(ISNUMBER(H41),ISNUMBER(N41)),H41-N41,"")</f>
        <v/>
      </c>
      <c r="Q41" s="93" t="s">
        <v>55</v>
      </c>
    </row>
    <row r="42" spans="1:17" ht="18" customHeight="1">
      <c r="A42" s="89">
        <v>29</v>
      </c>
      <c r="B42" s="90">
        <v>46110</v>
      </c>
      <c r="C42" s="91" t="s">
        <v>46</v>
      </c>
      <c r="D42" s="57"/>
      <c r="E42" s="57"/>
      <c r="F42" s="57"/>
      <c r="G42" s="57"/>
      <c r="H42" s="89"/>
      <c r="I42" s="89"/>
      <c r="J42" s="89"/>
      <c r="K42" s="57"/>
      <c r="L42" s="92"/>
      <c r="M42" s="59">
        <f>IF(AND(ISNUMBER(D42),ISNUMBER(E42)),IF(E42&gt;D42,(E42-D42)*24,""),"")</f>
        <v/>
      </c>
      <c r="N42" s="60">
        <f>IF(AND(ISNUMBER(F42),ISNUMBER(G42)),IF(G42&gt;F42,(G42-F42)*24,""),"")</f>
        <v/>
      </c>
      <c r="O42" s="61">
        <f>IF(J42="X",0,IF(ISNUMBER(H42),H42,IF(ISNUMBER(N42),N42,"")))</f>
        <v/>
      </c>
      <c r="P42" s="62">
        <f>IF(AND(ISNUMBER(H42),ISNUMBER(N42)),H42-N42,"")</f>
        <v/>
      </c>
      <c r="Q42" s="93" t="s">
        <v>47</v>
      </c>
    </row>
    <row r="43" spans="1:17" ht="18" customHeight="1">
      <c r="A43" s="23">
        <v>30</v>
      </c>
      <c r="B43" s="94">
        <v>46111</v>
      </c>
      <c r="C43" s="95" t="s">
        <v>48</v>
      </c>
      <c r="D43" s="43">
        <v>0.375</v>
      </c>
      <c r="E43" s="43">
        <v>0.4583333333333333</v>
      </c>
      <c r="F43" s="43">
        <v>0.375</v>
      </c>
      <c r="G43" s="43">
        <v>0.4583333333333333</v>
      </c>
      <c r="H43" s="96">
        <v>2</v>
      </c>
      <c r="I43" s="23"/>
      <c r="J43" s="23"/>
      <c r="K43" s="24" t="s">
        <v>13</v>
      </c>
      <c r="L43" s="97"/>
      <c r="M43" s="44">
        <f>IF(AND(ISNUMBER(D43),ISNUMBER(E43)),IF(E43&gt;D43,(E43-D43)*24,""),"")</f>
        <v>2.0</v>
      </c>
      <c r="N43" s="45">
        <f>IF(AND(ISNUMBER(F43),ISNUMBER(G43)),IF(G43&gt;F43,(G43-F43)*24,""),"")</f>
        <v>2.0</v>
      </c>
      <c r="O43" s="46">
        <f>IF(J43="X",0,IF(ISNUMBER(H43),H43,IF(ISNUMBER(N43),N43,"")))</f>
        <v>2.0</v>
      </c>
      <c r="P43" s="47">
        <f>IF(AND(ISNUMBER(H43),ISNUMBER(N43)),H43-N43,"")</f>
        <v>0.0</v>
      </c>
      <c r="Q43" s="98" t="s">
        <v>49</v>
      </c>
    </row>
    <row r="44" spans="1:17" ht="18" customHeight="1">
      <c r="A44" s="23">
        <v>31</v>
      </c>
      <c r="B44" s="94">
        <v>46112</v>
      </c>
      <c r="C44" s="95" t="s">
        <v>50</v>
      </c>
      <c r="D44" s="43">
        <v>0.375</v>
      </c>
      <c r="E44" s="43">
        <v>0.4583333333333333</v>
      </c>
      <c r="F44" s="43">
        <v>0.375</v>
      </c>
      <c r="G44" s="43">
        <v>0.4583333333333333</v>
      </c>
      <c r="H44" s="96">
        <v>2</v>
      </c>
      <c r="I44" s="23"/>
      <c r="J44" s="23"/>
      <c r="K44" s="24" t="s">
        <v>13</v>
      </c>
      <c r="L44" s="97"/>
      <c r="M44" s="44">
        <f>IF(AND(ISNUMBER(D44),ISNUMBER(E44)),IF(E44&gt;D44,(E44-D44)*24,""),"")</f>
        <v>2.0</v>
      </c>
      <c r="N44" s="45">
        <f>IF(AND(ISNUMBER(F44),ISNUMBER(G44)),IF(G44&gt;F44,(G44-F44)*24,""),"")</f>
        <v>2.0</v>
      </c>
      <c r="O44" s="46">
        <f>IF(J44="X",0,IF(ISNUMBER(H44),H44,IF(ISNUMBER(N44),N44,"")))</f>
        <v>2.0</v>
      </c>
      <c r="P44" s="47">
        <f>IF(AND(ISNUMBER(H44),ISNUMBER(N44)),H44-N44,"")</f>
        <v>0.0</v>
      </c>
      <c r="Q44" s="98" t="s">
        <v>49</v>
      </c>
    </row>
    <row r="45" spans="1:17" ht="24" customHeight="1">
      <c r="A45" s="102" t="s">
        <v>57</v>
      </c>
      <c r="B45" s="102"/>
      <c r="C45" s="102"/>
      <c r="D45" s="102"/>
      <c r="E45" s="102"/>
      <c r="F45" s="102"/>
      <c r="G45" s="102"/>
      <c r="H45" s="103">
        <f>SUM(H14:H44)</f>
        <v>46.25</v>
      </c>
      <c r="I45" s="31">
        <f>COUNTIF(I14:I44,"X")</f>
        <v>0.0</v>
      </c>
      <c r="J45" s="31">
        <f>COUNTIF(J14:J44,"X")</f>
        <v>0.0</v>
      </c>
      <c r="K45" s="31">
        <f>COUNTIF(K14:K44,"Sì")</f>
        <v>23.0</v>
      </c>
      <c r="L45" s="104"/>
      <c r="M45" s="103">
        <f>SUM(M14:M44)</f>
        <v>44.0</v>
      </c>
      <c r="N45" s="103">
        <f>SUM(N14:N44)</f>
        <v>46.25</v>
      </c>
      <c r="O45" s="105">
        <f>SUM(O14:O44)</f>
        <v>46.25</v>
      </c>
      <c r="P45" s="104"/>
      <c r="Q45" s="104"/>
    </row>
    <row r="47" spans="1:17" ht="26" customHeight="1">
      <c r="A47" s="106" t="s">
        <v>58</v>
      </c>
      <c r="B47" s="106"/>
      <c r="C47" s="106"/>
      <c r="D47" s="106"/>
      <c r="E47" s="106"/>
      <c r="F47" s="106"/>
      <c r="G47" s="106"/>
      <c r="H47" s="106"/>
      <c r="I47" s="106"/>
      <c r="J47" s="106"/>
      <c r="L47" s="106" t="s">
        <v>59</v>
      </c>
      <c r="M47" s="106"/>
      <c r="N47" s="106"/>
      <c r="O47" s="106"/>
      <c r="P47" s="106"/>
      <c r="Q47" s="106"/>
    </row>
    <row r="48" spans="1:17" ht="30" customHeight="1">
      <c r="A48" s="107" t="s">
        <v>60</v>
      </c>
      <c r="B48" s="107"/>
      <c r="C48" s="107"/>
      <c r="D48" s="107"/>
      <c r="E48" s="107"/>
      <c r="F48" s="107"/>
      <c r="G48" s="107"/>
      <c r="H48" s="108">
        <v>46.25</v>
      </c>
      <c r="I48" s="108"/>
      <c r="J48" s="108"/>
      <c r="L48" s="11" t="s">
        <v>68</v>
      </c>
      <c r="M48" s="11" t="s">
        <v>43</v>
      </c>
      <c r="N48" s="11" t="s">
        <v>69</v>
      </c>
      <c r="O48" s="11" t="s">
        <v>70</v>
      </c>
      <c r="P48" s="11" t="s">
        <v>71</v>
      </c>
      <c r="Q48" s="11" t="s">
        <v>72</v>
      </c>
    </row>
    <row r="49" spans="1:17" ht="20" customHeight="1">
      <c r="A49" s="107" t="s">
        <v>61</v>
      </c>
      <c r="B49" s="107"/>
      <c r="C49" s="107"/>
      <c r="D49" s="107"/>
      <c r="E49" s="107"/>
      <c r="F49" s="107"/>
      <c r="G49" s="107"/>
      <c r="H49" s="109">
        <f>H45</f>
        <v>46.25</v>
      </c>
      <c r="I49" s="109"/>
      <c r="J49" s="109"/>
      <c r="L49" s="110" t="s">
        <v>73</v>
      </c>
      <c r="M49" s="96">
        <f>SUM(O14:O14)</f>
        <v>0.0</v>
      </c>
      <c r="N49" s="44">
        <v>0</v>
      </c>
      <c r="O49" s="44">
        <f>IF(ISNUMBER($L$6),$L$6,"")</f>
        <v>10.0</v>
      </c>
      <c r="P49" s="111">
        <f>IF(ISNUMBER(N49),M49-N49,"")</f>
        <v>0.0</v>
      </c>
      <c r="Q49" s="110" t="str">
        <f>IF(NOT(ISNUMBER(O49)),"Ore PEI non indicate",IF(M49&gt;O49+0.01,"Oltre il limite PEI","Entro il limite PEI"))</f>
        <v>Entro il limite PEI</v>
      </c>
    </row>
    <row r="50" spans="1:17" ht="20" customHeight="1">
      <c r="A50" s="107" t="s">
        <v>62</v>
      </c>
      <c r="B50" s="107"/>
      <c r="C50" s="107"/>
      <c r="D50" s="107"/>
      <c r="E50" s="107"/>
      <c r="F50" s="107"/>
      <c r="G50" s="107"/>
      <c r="H50" s="112">
        <f>IF(ISNUMBER(H48),H49-H48,"")</f>
        <v>0.0</v>
      </c>
      <c r="I50" s="112"/>
      <c r="J50" s="112"/>
      <c r="L50" s="110" t="s">
        <v>74</v>
      </c>
      <c r="M50" s="96">
        <f>SUM(O15:O21)</f>
        <v>10.0</v>
      </c>
      <c r="N50" s="44">
        <v>10</v>
      </c>
      <c r="O50" s="44">
        <f>IF(ISNUMBER($L$6),$L$6,"")</f>
        <v>10.0</v>
      </c>
      <c r="P50" s="111">
        <f>IF(ISNUMBER(N50),M50-N50,"")</f>
        <v>0.0</v>
      </c>
      <c r="Q50" s="110" t="str">
        <f>IF(NOT(ISNUMBER(O50)),"Ore PEI non indicate",IF(M50&gt;O50+0.01,"Oltre il limite PEI","Entro il limite PEI"))</f>
        <v>Entro il limite PEI</v>
      </c>
    </row>
    <row r="51" spans="1:17" ht="20" customHeight="1">
      <c r="A51" s="107" t="s">
        <v>63</v>
      </c>
      <c r="B51" s="107"/>
      <c r="C51" s="107"/>
      <c r="D51" s="107"/>
      <c r="E51" s="107"/>
      <c r="F51" s="107"/>
      <c r="G51" s="107"/>
      <c r="H51" s="113" t="str">
        <f>IF(ISNUMBER(H48),IF(ABS(H50)&lt;=0.01,"Corrisponde","Non corrisponde"),IF(ISBLANK(H48),"Totale non indicato","Totale non leggibile"))</f>
        <v>Corrisponde</v>
      </c>
      <c r="I51" s="113"/>
      <c r="J51" s="113"/>
      <c r="L51" s="110" t="s">
        <v>75</v>
      </c>
      <c r="M51" s="96">
        <f>SUM(O22:O28)</f>
        <v>12.0</v>
      </c>
      <c r="N51" s="44">
        <v>10</v>
      </c>
      <c r="O51" s="44">
        <f>IF(ISNUMBER($L$6),$L$6,"")</f>
        <v>10.0</v>
      </c>
      <c r="P51" s="111">
        <f>IF(ISNUMBER(N51),M51-N51,"")</f>
        <v>2.0</v>
      </c>
      <c r="Q51" s="110" t="str">
        <f>IF(NOT(ISNUMBER(O51)),"Ore PEI non indicate",IF(M51&gt;O51+0.01,"Oltre il limite PEI","Entro il limite PEI"))</f>
        <v>Oltre il limite PEI</v>
      </c>
    </row>
    <row r="52" spans="1:17" ht="20" customHeight="1">
      <c r="A52" s="107" t="s">
        <v>41</v>
      </c>
      <c r="B52" s="107"/>
      <c r="C52" s="107"/>
      <c r="D52" s="107"/>
      <c r="E52" s="107"/>
      <c r="F52" s="107"/>
      <c r="G52" s="107"/>
      <c r="H52" s="109">
        <f>M45</f>
        <v>44.0</v>
      </c>
      <c r="I52" s="109"/>
      <c r="J52" s="109"/>
      <c r="L52" s="110" t="s">
        <v>76</v>
      </c>
      <c r="M52" s="96">
        <f>SUM(O29:O35)</f>
        <v>10.25</v>
      </c>
      <c r="N52" s="44">
        <v>10</v>
      </c>
      <c r="O52" s="44">
        <f>IF(ISNUMBER($L$6),$L$6,"")</f>
        <v>10.0</v>
      </c>
      <c r="P52" s="111">
        <f>IF(ISNUMBER(N52),M52-N52,"")</f>
        <v>0.25</v>
      </c>
      <c r="Q52" s="110" t="str">
        <f>IF(NOT(ISNUMBER(O52)),"Ore PEI non indicate",IF(M52&gt;O52+0.01,"Oltre il limite PEI","Entro il limite PEI"))</f>
        <v>Oltre il limite PEI</v>
      </c>
    </row>
    <row r="53" spans="1:17" ht="20" customHeight="1">
      <c r="A53" s="107" t="s">
        <v>64</v>
      </c>
      <c r="B53" s="107"/>
      <c r="C53" s="107"/>
      <c r="D53" s="107"/>
      <c r="E53" s="107"/>
      <c r="F53" s="107"/>
      <c r="G53" s="107"/>
      <c r="H53" s="109">
        <f>N45</f>
        <v>46.25</v>
      </c>
      <c r="I53" s="109"/>
      <c r="J53" s="109"/>
      <c r="L53" s="110" t="s">
        <v>77</v>
      </c>
      <c r="M53" s="96">
        <f>SUM(O36:O42)</f>
        <v>10.0</v>
      </c>
      <c r="N53" s="44">
        <v>10</v>
      </c>
      <c r="O53" s="44">
        <f>IF(ISNUMBER($L$6),$L$6,"")</f>
        <v>10.0</v>
      </c>
      <c r="P53" s="111">
        <f>IF(ISNUMBER(N53),M53-N53,"")</f>
        <v>0.0</v>
      </c>
      <c r="Q53" s="110" t="str">
        <f>IF(NOT(ISNUMBER(O53)),"Ore PEI non indicate",IF(M53&gt;O53+0.01,"Oltre il limite PEI","Entro il limite PEI"))</f>
        <v>Entro il limite PEI</v>
      </c>
    </row>
    <row r="54" spans="1:17" ht="20" customHeight="1">
      <c r="A54" s="107" t="s">
        <v>43</v>
      </c>
      <c r="B54" s="107"/>
      <c r="C54" s="107"/>
      <c r="D54" s="107"/>
      <c r="E54" s="107"/>
      <c r="F54" s="107"/>
      <c r="G54" s="107"/>
      <c r="H54" s="114">
        <f>O45</f>
        <v>46.25</v>
      </c>
      <c r="I54" s="114"/>
      <c r="J54" s="114"/>
      <c r="L54" s="110" t="s">
        <v>78</v>
      </c>
      <c r="M54" s="96">
        <f>SUM(O43:O44)</f>
        <v>4.0</v>
      </c>
      <c r="N54" s="44">
        <v>3.33</v>
      </c>
      <c r="O54" s="44">
        <f>IF(ISNUMBER($L$6),$L$6,"")</f>
        <v>10.0</v>
      </c>
      <c r="P54" s="111">
        <f>IF(ISNUMBER(N54),M54-N54,"")</f>
        <v>0.6699999999999999</v>
      </c>
      <c r="Q54" s="110" t="str">
        <f>IF(NOT(ISNUMBER(O54)),"Ore PEI non indicate",IF(M54&gt;O54+0.01,"Oltre il limite PEI","Entro il limite PEI"))</f>
        <v>Entro il limite PEI</v>
      </c>
    </row>
    <row r="55" spans="1:17" ht="22" customHeight="1">
      <c r="A55" s="107" t="s">
        <v>65</v>
      </c>
      <c r="B55" s="107"/>
      <c r="C55" s="107"/>
      <c r="D55" s="107"/>
      <c r="E55" s="107"/>
      <c r="F55" s="107"/>
      <c r="G55" s="107"/>
      <c r="H55" s="115">
        <f>COUNTIF(O14:O44,"&gt;0")</f>
        <v>23.0</v>
      </c>
      <c r="I55" s="115"/>
      <c r="J55" s="115"/>
      <c r="L55" s="116" t="s">
        <v>79</v>
      </c>
      <c r="M55" s="103">
        <f>SUM(M49:M54)</f>
        <v>46.25</v>
      </c>
      <c r="N55" s="103">
        <f>SUM(N49:N54)</f>
        <v>43.33</v>
      </c>
      <c r="O55" s="104"/>
      <c r="P55" s="117">
        <f>IF(ISNUMBER(N55),M55-N55,"")</f>
        <v>2.9200000000000017</v>
      </c>
      <c r="Q55" s="104"/>
    </row>
    <row r="56" spans="1:17" ht="20" customHeight="1">
      <c r="A56" s="107" t="s">
        <v>66</v>
      </c>
      <c r="B56" s="107"/>
      <c r="C56" s="107"/>
      <c r="D56" s="107"/>
      <c r="E56" s="107"/>
      <c r="F56" s="107"/>
      <c r="G56" s="107"/>
      <c r="H56" s="115">
        <f>I45</f>
        <v>0.0</v>
      </c>
      <c r="I56" s="115"/>
      <c r="J56" s="115"/>
      <c r="L56" s="118" t="s">
        <v>80</v>
      </c>
      <c r="M56" s="118"/>
      <c r="N56" s="118"/>
      <c r="O56" s="118"/>
      <c r="P56" s="118"/>
      <c r="Q56" s="118"/>
    </row>
    <row r="57" spans="1:17" ht="20" customHeight="1">
      <c r="A57" s="107" t="s">
        <v>67</v>
      </c>
      <c r="B57" s="107"/>
      <c r="C57" s="107"/>
      <c r="D57" s="107"/>
      <c r="E57" s="107"/>
      <c r="F57" s="107"/>
      <c r="G57" s="107"/>
      <c r="H57" s="115">
        <f>J45</f>
        <v>0.0</v>
      </c>
      <c r="I57" s="115"/>
      <c r="J57" s="115"/>
    </row>
    <row r="59" spans="1:17" ht="26" customHeight="1">
      <c r="A59" s="106" t="s">
        <v>81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</row>
    <row r="60" spans="1:17" ht="20" customHeight="1">
      <c r="A60" s="11" t="s">
        <v>82</v>
      </c>
      <c r="B60" s="11"/>
      <c r="C60" s="11" t="s">
        <v>29</v>
      </c>
      <c r="D60" s="11" t="s">
        <v>83</v>
      </c>
      <c r="E60" s="11"/>
      <c r="F60" s="11"/>
      <c r="G60" s="11"/>
      <c r="H60" s="11" t="s">
        <v>84</v>
      </c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8.2" customHeight="1">
      <c r="A61" s="119" t="s">
        <v>85</v>
      </c>
      <c r="B61" s="119"/>
      <c r="C61" s="24"/>
      <c r="D61" s="120" t="s">
        <v>86</v>
      </c>
      <c r="E61" s="120"/>
      <c r="F61" s="120"/>
      <c r="G61" s="120"/>
      <c r="H61" s="121" t="s">
        <v>87</v>
      </c>
      <c r="I61" s="121"/>
      <c r="J61" s="121"/>
      <c r="K61" s="121"/>
      <c r="L61" s="121"/>
      <c r="M61" s="121"/>
      <c r="N61" s="121"/>
      <c r="O61" s="121"/>
      <c r="P61" s="121"/>
      <c r="Q61" s="121"/>
    </row>
    <row r="62" spans="1:17" ht="18.2" customHeight="1">
      <c r="A62" s="119" t="s">
        <v>85</v>
      </c>
      <c r="B62" s="119"/>
      <c r="C62" s="24"/>
      <c r="D62" s="120" t="s">
        <v>88</v>
      </c>
      <c r="E62" s="120"/>
      <c r="F62" s="120"/>
      <c r="G62" s="120"/>
      <c r="H62" s="121" t="s">
        <v>89</v>
      </c>
      <c r="I62" s="121"/>
      <c r="J62" s="121"/>
      <c r="K62" s="121"/>
      <c r="L62" s="121"/>
      <c r="M62" s="121"/>
      <c r="N62" s="121"/>
      <c r="O62" s="121"/>
      <c r="P62" s="121"/>
      <c r="Q62" s="121"/>
    </row>
    <row r="63" spans="1:17" ht="18.2" customHeight="1">
      <c r="A63" s="119" t="s">
        <v>85</v>
      </c>
      <c r="B63" s="119"/>
      <c r="C63" s="24"/>
      <c r="D63" s="120" t="s">
        <v>90</v>
      </c>
      <c r="E63" s="120"/>
      <c r="F63" s="120"/>
      <c r="G63" s="120"/>
      <c r="H63" s="121" t="s">
        <v>91</v>
      </c>
      <c r="I63" s="121"/>
      <c r="J63" s="121"/>
      <c r="K63" s="121"/>
      <c r="L63" s="121"/>
      <c r="M63" s="121"/>
      <c r="N63" s="121"/>
      <c r="O63" s="121"/>
      <c r="P63" s="121"/>
      <c r="Q63" s="121"/>
    </row>
    <row r="64" spans="1:17" ht="18.2" customHeight="1">
      <c r="A64" s="119" t="s">
        <v>85</v>
      </c>
      <c r="B64" s="119"/>
      <c r="C64" s="24"/>
      <c r="D64" s="120" t="s">
        <v>90</v>
      </c>
      <c r="E64" s="120"/>
      <c r="F64" s="120"/>
      <c r="G64" s="120"/>
      <c r="H64" s="121" t="s">
        <v>92</v>
      </c>
      <c r="I64" s="121"/>
      <c r="J64" s="121"/>
      <c r="K64" s="121"/>
      <c r="L64" s="121"/>
      <c r="M64" s="121"/>
      <c r="N64" s="121"/>
      <c r="O64" s="121"/>
      <c r="P64" s="121"/>
      <c r="Q64" s="121"/>
    </row>
    <row r="65" spans="1:17" ht="18.2" customHeight="1">
      <c r="A65" s="122" t="s">
        <v>93</v>
      </c>
      <c r="B65" s="122"/>
      <c r="C65" s="37">
        <v>14</v>
      </c>
      <c r="D65" s="120" t="s">
        <v>95</v>
      </c>
      <c r="E65" s="120"/>
      <c r="F65" s="120"/>
      <c r="G65" s="120"/>
      <c r="H65" s="121" t="s">
        <v>96</v>
      </c>
      <c r="I65" s="121"/>
      <c r="J65" s="121"/>
      <c r="K65" s="121"/>
      <c r="L65" s="121"/>
      <c r="M65" s="121"/>
      <c r="N65" s="121"/>
      <c r="O65" s="121"/>
      <c r="P65" s="121"/>
      <c r="Q65" s="121"/>
    </row>
    <row r="66" spans="1:17" ht="18.2" customHeight="1">
      <c r="A66" s="122" t="s">
        <v>93</v>
      </c>
      <c r="B66" s="122"/>
      <c r="C66" s="37">
        <v>14</v>
      </c>
      <c r="D66" s="120" t="s">
        <v>97</v>
      </c>
      <c r="E66" s="120"/>
      <c r="F66" s="120"/>
      <c r="G66" s="120"/>
      <c r="H66" s="121" t="s">
        <v>98</v>
      </c>
      <c r="I66" s="121"/>
      <c r="J66" s="121"/>
      <c r="K66" s="121"/>
      <c r="L66" s="121"/>
      <c r="M66" s="121"/>
      <c r="N66" s="121"/>
      <c r="O66" s="121"/>
      <c r="P66" s="121"/>
      <c r="Q66" s="121"/>
    </row>
    <row r="67" spans="1:17" ht="18.2" customHeight="1">
      <c r="A67" s="122" t="s">
        <v>93</v>
      </c>
      <c r="B67" s="122"/>
      <c r="C67" s="37">
        <v>20</v>
      </c>
      <c r="D67" s="120" t="s">
        <v>100</v>
      </c>
      <c r="E67" s="120"/>
      <c r="F67" s="120"/>
      <c r="G67" s="120"/>
      <c r="H67" s="121" t="s">
        <v>101</v>
      </c>
      <c r="I67" s="121"/>
      <c r="J67" s="121"/>
      <c r="K67" s="121"/>
      <c r="L67" s="121"/>
      <c r="M67" s="121"/>
      <c r="N67" s="121"/>
      <c r="O67" s="121"/>
      <c r="P67" s="121"/>
      <c r="Q67" s="121"/>
    </row>
    <row r="69" spans="1:17" ht="17" customHeight="1">
      <c r="A69" s="123" t="s">
        <v>102</v>
      </c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</row>
    <row r="70" spans="1:17" ht="18" customHeight="1">
      <c r="A70" s="123" t="s">
        <v>103</v>
      </c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</row>
    <row r="71" spans="1:17" ht="18" customHeight="1">
      <c r="A71" s="124" t="s">
        <v>3</v>
      </c>
    </row>
  </sheetData>
  <mergeCells count="98">
    <mergeCell ref="A1:P1"/>
    <mergeCell ref="A2:Q2"/>
    <mergeCell ref="A5:C5"/>
    <mergeCell ref="D5:H5"/>
    <mergeCell ref="I5:K5"/>
    <mergeCell ref="L5:N5"/>
    <mergeCell ref="A6:C6"/>
    <mergeCell ref="D6:H6"/>
    <mergeCell ref="I6:K6"/>
    <mergeCell ref="L6:N6"/>
    <mergeCell ref="A7:C7"/>
    <mergeCell ref="D7:H7"/>
    <mergeCell ref="I7:K7"/>
    <mergeCell ref="L7:N7"/>
    <mergeCell ref="A8:C8"/>
    <mergeCell ref="D8:H8"/>
    <mergeCell ref="I8:K8"/>
    <mergeCell ref="L8:N8"/>
    <mergeCell ref="A9:C9"/>
    <mergeCell ref="D9:H9"/>
    <mergeCell ref="I9:K9"/>
    <mergeCell ref="L9:N9"/>
    <mergeCell ref="A10:C10"/>
    <mergeCell ref="D10:H10"/>
    <mergeCell ref="I10:K10"/>
    <mergeCell ref="L10:N10"/>
    <mergeCell ref="O5:Q5"/>
    <mergeCell ref="O6:Q7"/>
    <mergeCell ref="O8:Q8"/>
    <mergeCell ref="O9:Q9"/>
    <mergeCell ref="O10:Q10"/>
    <mergeCell ref="M11:Q11"/>
    <mergeCell ref="A12:A13"/>
    <mergeCell ref="B12:B13"/>
    <mergeCell ref="C12:C13"/>
    <mergeCell ref="H12:H13"/>
    <mergeCell ref="I12:I13"/>
    <mergeCell ref="J12:J13"/>
    <mergeCell ref="K12:K13"/>
    <mergeCell ref="L12:L13"/>
    <mergeCell ref="D12:E12"/>
    <mergeCell ref="F12:G12"/>
    <mergeCell ref="M12:M13"/>
    <mergeCell ref="N12:N13"/>
    <mergeCell ref="O12:O13"/>
    <mergeCell ref="P12:P13"/>
    <mergeCell ref="Q12:Q13"/>
    <mergeCell ref="A45:G45"/>
    <mergeCell ref="A47:J47"/>
    <mergeCell ref="L47:Q47"/>
    <mergeCell ref="A48:G48"/>
    <mergeCell ref="H48:J48"/>
    <mergeCell ref="A49:G49"/>
    <mergeCell ref="H49:J49"/>
    <mergeCell ref="A50:G50"/>
    <mergeCell ref="H50:J50"/>
    <mergeCell ref="A51:G51"/>
    <mergeCell ref="H51:J51"/>
    <mergeCell ref="A52:G52"/>
    <mergeCell ref="H52:J52"/>
    <mergeCell ref="A53:G53"/>
    <mergeCell ref="H53:J53"/>
    <mergeCell ref="A54:G54"/>
    <mergeCell ref="H54:J54"/>
    <mergeCell ref="A55:G55"/>
    <mergeCell ref="H55:J55"/>
    <mergeCell ref="A56:G56"/>
    <mergeCell ref="H56:J56"/>
    <mergeCell ref="A57:G57"/>
    <mergeCell ref="H57:J57"/>
    <mergeCell ref="L56:Q56"/>
    <mergeCell ref="A59:Q59"/>
    <mergeCell ref="A60:B60"/>
    <mergeCell ref="D60:G60"/>
    <mergeCell ref="H60:Q60"/>
    <mergeCell ref="A61:B61"/>
    <mergeCell ref="D61:G61"/>
    <mergeCell ref="H61:Q61"/>
    <mergeCell ref="A62:B62"/>
    <mergeCell ref="D62:G62"/>
    <mergeCell ref="H62:Q62"/>
    <mergeCell ref="A63:B63"/>
    <mergeCell ref="D63:G63"/>
    <mergeCell ref="H63:Q63"/>
    <mergeCell ref="A64:B64"/>
    <mergeCell ref="D64:G64"/>
    <mergeCell ref="H64:Q64"/>
    <mergeCell ref="A65:B65"/>
    <mergeCell ref="D65:G65"/>
    <mergeCell ref="H65:Q65"/>
    <mergeCell ref="A66:B66"/>
    <mergeCell ref="D66:G66"/>
    <mergeCell ref="H66:Q66"/>
    <mergeCell ref="A67:B67"/>
    <mergeCell ref="D67:G67"/>
    <mergeCell ref="H67:Q67"/>
    <mergeCell ref="A69:Q69"/>
    <mergeCell ref="A70:Q70"/>
  </mergeCells>
  <conditionalFormatting sqref="H50">
    <cfRule type="expression" dxfId="3" priority="4">
      <formula>AND(ISNUMBER(H50),ABS(H50)&gt;0.01)</formula>
    </cfRule>
  </conditionalFormatting>
  <conditionalFormatting sqref="H51">
    <cfRule type="beginsWith" dxfId="0" priority="1" operator="beginsWith" text="Corrisponde">
      <formula>LEFT(H51,11)="Corrisponde"</formula>
    </cfRule>
    <cfRule type="beginsWith" dxfId="1" priority="2" operator="beginsWith" text="Non corrisponde">
      <formula>LEFT(H51,15)="Non corrisponde"</formula>
    </cfRule>
    <cfRule type="beginsWith" dxfId="2" priority="3" operator="beginsWith" text="Totale non">
      <formula>LEFT(H51,10)="Totale non"</formula>
    </cfRule>
  </conditionalFormatting>
  <conditionalFormatting sqref="Q49:Q54">
    <cfRule type="beginsWith" dxfId="4" priority="5" operator="beginsWith" text="Oltre">
      <formula>LEFT(Q49,5)="Oltre"</formula>
    </cfRule>
    <cfRule type="beginsWith" dxfId="0" priority="6" operator="beginsWith" text="Entro">
      <formula>LEFT(Q49,5)="Entro"</formula>
    </cfRule>
    <cfRule type="beginsWith" dxfId="2" priority="7" operator="beginsWith" text="Ore PEI non">
      <formula>LEFT(Q49,11)="Ore PEI non"</formula>
    </cfRule>
  </conditionalFormatting>
  <hyperlinks>
    <hyperlink ref="Q4" location="'Riepilogo'!A1" tooltip="Torna al foglio Riepilogo" display="‹ Torna al Riepilogo"/>
    <hyperlink ref="C65" location="'DE LUCA G. 03-2026'!A27" tooltip="Vai al giorno 14" display="14"/>
    <hyperlink ref="C66" location="'DE LUCA G. 03-2026'!A27" tooltip="Vai al giorno 14" display="14"/>
    <hyperlink ref="C67" location="'DE LUCA G. 03-2026'!A33" tooltip="Vai al giorno 20" display="20"/>
    <hyperlink ref="A71" location="'Riepilogo'!A1" display="‹ Torna al Riepilogo"/>
  </hyperlinks>
  <printOptions horizontalCentered="1"/>
  <pageMargins left="0.35" right="0.35" top="0.6" bottom="0.6" header="0.25" footer="0.25"/>
  <pageSetup paperSize="9" fitToHeight="0" orientation="landscape"/>
  <headerFooter>
    <oddHeader>&amp;L&amp;"Calibri,Regular"&amp;8&amp;K6B7280Sirio OCR · Rendicontazione Assistenza Specialistica&amp;R&amp;"Calibri,Regular"&amp;8&amp;K6B7280&amp;A</oddHeader>
    <oddFooter>&amp;L&amp;"Calibri,Regular"&amp;8&amp;K6B7280Generato il 10/10/2026 alle 17:01&amp;R&amp;"Calibri,Regular"&amp;8&amp;K6B7280Pagina &amp;P di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5803D"/>
    <pageSetUpPr fitToPage="1"/>
  </sheetPr>
  <dimension ref="A1:Q65"/>
  <sheetViews>
    <sheetView showGridLines="0" workbookViewId="0">
      <pane ySplit="13" topLeftCell="A14" activePane="bottomLeft" state="frozen"/>
      <selection pane="bottomLeft"/>
    </sheetView>
  </sheetViews>
  <sheetFormatPr defaultRowHeight="18" customHeight="1"/>
  <cols>
    <col min="1" max="1" width="7.7109375" customWidth="1"/>
    <col min="2" max="2" width="11.7109375" customWidth="1"/>
    <col min="3" max="3" width="6.7109375" customWidth="1"/>
    <col min="4" max="7" width="9.28515625" customWidth="1"/>
    <col min="8" max="11" width="10.28515625" customWidth="1"/>
    <col min="12" max="12" width="22.7109375" customWidth="1"/>
    <col min="13" max="14" width="10.7109375" customWidth="1"/>
    <col min="15" max="15" width="11.28515625" customWidth="1"/>
    <col min="16" max="16" width="10.28515625" customWidth="1"/>
    <col min="17" max="17" width="44.7109375" customWidth="1"/>
  </cols>
  <sheetData>
    <row r="1" spans="1:17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3" t="s">
        <v>104</v>
      </c>
    </row>
    <row r="2" spans="1:17" ht="20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8" customHeight="1">
      <c r="Q4" s="74" t="s">
        <v>3</v>
      </c>
    </row>
    <row r="5" spans="1:17" ht="21" customHeight="1">
      <c r="A5" s="75" t="s">
        <v>4</v>
      </c>
      <c r="B5" s="75"/>
      <c r="C5" s="75"/>
      <c r="D5" s="76" t="s">
        <v>5</v>
      </c>
      <c r="E5" s="76"/>
      <c r="F5" s="76"/>
      <c r="G5" s="76"/>
      <c r="H5" s="76"/>
      <c r="I5" s="75" t="s">
        <v>6</v>
      </c>
      <c r="J5" s="75"/>
      <c r="K5" s="75"/>
      <c r="L5" s="77">
        <v>46054</v>
      </c>
      <c r="M5" s="77"/>
      <c r="N5" s="77"/>
      <c r="O5" s="125" t="s">
        <v>23</v>
      </c>
      <c r="P5" s="125"/>
      <c r="Q5" s="125"/>
    </row>
    <row r="6" spans="1:17" ht="21" customHeight="1">
      <c r="A6" s="75" t="s">
        <v>7</v>
      </c>
      <c r="B6" s="75"/>
      <c r="C6" s="75"/>
      <c r="D6" s="76" t="s">
        <v>105</v>
      </c>
      <c r="E6" s="76"/>
      <c r="F6" s="76"/>
      <c r="G6" s="76"/>
      <c r="H6" s="76"/>
      <c r="I6" s="75" t="s">
        <v>9</v>
      </c>
      <c r="J6" s="75"/>
      <c r="K6" s="75"/>
      <c r="L6" s="126">
        <v>12</v>
      </c>
      <c r="M6" s="126"/>
      <c r="N6" s="126"/>
      <c r="O6" s="127" t="s">
        <v>49</v>
      </c>
      <c r="P6" s="127"/>
      <c r="Q6" s="127"/>
    </row>
    <row r="7" spans="1:17" ht="21" customHeight="1">
      <c r="A7" s="75" t="s">
        <v>10</v>
      </c>
      <c r="B7" s="75"/>
      <c r="C7" s="75"/>
      <c r="D7" s="81" t="s">
        <v>106</v>
      </c>
      <c r="E7" s="81"/>
      <c r="F7" s="81"/>
      <c r="G7" s="81"/>
      <c r="H7" s="81"/>
      <c r="I7" s="75" t="s">
        <v>12</v>
      </c>
      <c r="J7" s="75"/>
      <c r="K7" s="75"/>
      <c r="L7" s="76" t="s">
        <v>107</v>
      </c>
      <c r="M7" s="76"/>
      <c r="N7" s="76"/>
      <c r="O7" s="127"/>
      <c r="P7" s="127"/>
      <c r="Q7" s="127"/>
    </row>
    <row r="8" spans="1:17" ht="21" customHeight="1">
      <c r="A8" s="75" t="s">
        <v>14</v>
      </c>
      <c r="B8" s="75"/>
      <c r="C8" s="75"/>
      <c r="D8" s="81" t="s">
        <v>108</v>
      </c>
      <c r="E8" s="81"/>
      <c r="F8" s="81"/>
      <c r="G8" s="81"/>
      <c r="H8" s="81"/>
      <c r="I8" s="75" t="s">
        <v>16</v>
      </c>
      <c r="J8" s="75"/>
      <c r="K8" s="75"/>
      <c r="L8" s="82">
        <v>46080</v>
      </c>
      <c r="M8" s="82"/>
      <c r="N8" s="82"/>
      <c r="O8" s="128" t="s">
        <v>109</v>
      </c>
      <c r="P8" s="128"/>
      <c r="Q8" s="128"/>
    </row>
    <row r="9" spans="1:17" ht="21" customHeight="1">
      <c r="A9" s="75" t="s">
        <v>17</v>
      </c>
      <c r="B9" s="75"/>
      <c r="C9" s="75"/>
      <c r="D9" s="84">
        <v>1</v>
      </c>
      <c r="E9" s="84"/>
      <c r="F9" s="84"/>
      <c r="G9" s="84"/>
      <c r="H9" s="84"/>
      <c r="I9" s="75" t="s">
        <v>18</v>
      </c>
      <c r="J9" s="75"/>
      <c r="K9" s="75"/>
      <c r="L9" s="85" t="s">
        <v>19</v>
      </c>
      <c r="M9" s="85"/>
      <c r="N9" s="85"/>
      <c r="O9" s="128" t="s">
        <v>110</v>
      </c>
      <c r="P9" s="128"/>
      <c r="Q9" s="128"/>
    </row>
    <row r="10" spans="1:17" ht="21" customHeight="1">
      <c r="A10" s="75" t="s">
        <v>20</v>
      </c>
      <c r="B10" s="75"/>
      <c r="C10" s="75"/>
      <c r="D10" s="84">
        <v>2</v>
      </c>
      <c r="E10" s="84"/>
      <c r="F10" s="84"/>
      <c r="G10" s="84"/>
      <c r="H10" s="84"/>
      <c r="I10" s="75" t="s">
        <v>21</v>
      </c>
      <c r="J10" s="75"/>
      <c r="K10" s="75"/>
      <c r="L10" s="85" t="s">
        <v>19</v>
      </c>
      <c r="M10" s="85"/>
      <c r="N10" s="85"/>
      <c r="O10" s="129" t="s">
        <v>111</v>
      </c>
      <c r="P10" s="129"/>
      <c r="Q10" s="129"/>
    </row>
    <row r="11" spans="1:17" ht="16" customHeight="1">
      <c r="M11" s="88" t="s">
        <v>28</v>
      </c>
      <c r="N11" s="88"/>
      <c r="O11" s="88"/>
      <c r="P11" s="88"/>
      <c r="Q11" s="88"/>
    </row>
    <row r="12" spans="1:17" ht="30" customHeight="1">
      <c r="A12" s="11" t="s">
        <v>29</v>
      </c>
      <c r="B12" s="11" t="s">
        <v>30</v>
      </c>
      <c r="C12" s="11" t="s">
        <v>31</v>
      </c>
      <c r="D12" s="11" t="s">
        <v>37</v>
      </c>
      <c r="E12" s="11"/>
      <c r="F12" s="11" t="s">
        <v>38</v>
      </c>
      <c r="G12" s="11"/>
      <c r="H12" s="11" t="s">
        <v>32</v>
      </c>
      <c r="I12" s="11" t="s">
        <v>33</v>
      </c>
      <c r="J12" s="11" t="s">
        <v>34</v>
      </c>
      <c r="K12" s="11" t="s">
        <v>35</v>
      </c>
      <c r="L12" s="11" t="s">
        <v>36</v>
      </c>
      <c r="M12" s="12" t="s">
        <v>41</v>
      </c>
      <c r="N12" s="12" t="s">
        <v>42</v>
      </c>
      <c r="O12" s="12" t="s">
        <v>43</v>
      </c>
      <c r="P12" s="12" t="s">
        <v>44</v>
      </c>
      <c r="Q12" s="12" t="s">
        <v>45</v>
      </c>
    </row>
    <row r="13" spans="1:17" ht="18" customHeight="1">
      <c r="A13" s="11"/>
      <c r="B13" s="11"/>
      <c r="C13" s="11"/>
      <c r="D13" s="11" t="s">
        <v>39</v>
      </c>
      <c r="E13" s="11" t="s">
        <v>40</v>
      </c>
      <c r="F13" s="11" t="s">
        <v>39</v>
      </c>
      <c r="G13" s="11" t="s">
        <v>40</v>
      </c>
      <c r="H13" s="11"/>
      <c r="I13" s="11"/>
      <c r="J13" s="11"/>
      <c r="K13" s="11"/>
      <c r="L13" s="11"/>
      <c r="M13" s="12"/>
      <c r="N13" s="12"/>
      <c r="O13" s="12"/>
      <c r="P13" s="12"/>
      <c r="Q13" s="12"/>
    </row>
    <row r="14" spans="1:17" ht="18" customHeight="1">
      <c r="A14" s="89">
        <v>1</v>
      </c>
      <c r="B14" s="90">
        <v>46054</v>
      </c>
      <c r="C14" s="91" t="s">
        <v>46</v>
      </c>
      <c r="D14" s="57"/>
      <c r="E14" s="57"/>
      <c r="F14" s="57"/>
      <c r="G14" s="57"/>
      <c r="H14" s="89"/>
      <c r="I14" s="89"/>
      <c r="J14" s="89"/>
      <c r="K14" s="57"/>
      <c r="L14" s="92"/>
      <c r="M14" s="59">
        <f>IF(AND(ISNUMBER(D14),ISNUMBER(E14)),IF(E14&gt;D14,(E14-D14)*24,""),"")</f>
        <v/>
      </c>
      <c r="N14" s="60">
        <f>IF(AND(ISNUMBER(F14),ISNUMBER(G14)),IF(G14&gt;F14,(G14-F14)*24,""),"")</f>
        <v/>
      </c>
      <c r="O14" s="61">
        <f>IF(J14="X",0,IF(ISNUMBER(H14),H14,IF(ISNUMBER(N14),N14,"")))</f>
        <v/>
      </c>
      <c r="P14" s="62">
        <f>IF(AND(ISNUMBER(H14),ISNUMBER(N14)),H14-N14,"")</f>
        <v/>
      </c>
      <c r="Q14" s="93" t="s">
        <v>47</v>
      </c>
    </row>
    <row r="15" spans="1:17" ht="18" customHeight="1">
      <c r="A15" s="23">
        <v>2</v>
      </c>
      <c r="B15" s="94">
        <v>46055</v>
      </c>
      <c r="C15" s="95" t="s">
        <v>48</v>
      </c>
      <c r="D15" s="43">
        <v>0.4583333333333333</v>
      </c>
      <c r="E15" s="43">
        <v>0.5833333333333334</v>
      </c>
      <c r="F15" s="43">
        <v>0.4583333333333333</v>
      </c>
      <c r="G15" s="43">
        <v>0.5833333333333334</v>
      </c>
      <c r="H15" s="96">
        <v>3</v>
      </c>
      <c r="I15" s="23"/>
      <c r="J15" s="23"/>
      <c r="K15" s="24" t="s">
        <v>13</v>
      </c>
      <c r="L15" s="97"/>
      <c r="M15" s="44">
        <f>IF(AND(ISNUMBER(D15),ISNUMBER(E15)),IF(E15&gt;D15,(E15-D15)*24,""),"")</f>
        <v>3.0</v>
      </c>
      <c r="N15" s="45">
        <f>IF(AND(ISNUMBER(F15),ISNUMBER(G15)),IF(G15&gt;F15,(G15-F15)*24,""),"")</f>
        <v>3.0</v>
      </c>
      <c r="O15" s="46">
        <f>IF(J15="X",0,IF(ISNUMBER(H15),H15,IF(ISNUMBER(N15),N15,"")))</f>
        <v>3.0</v>
      </c>
      <c r="P15" s="47">
        <f>IF(AND(ISNUMBER(H15),ISNUMBER(N15)),H15-N15,"")</f>
        <v>0.0</v>
      </c>
      <c r="Q15" s="98" t="s">
        <v>49</v>
      </c>
    </row>
    <row r="16" spans="1:17" ht="18" customHeight="1">
      <c r="A16" s="23">
        <v>3</v>
      </c>
      <c r="B16" s="94">
        <v>46056</v>
      </c>
      <c r="C16" s="95" t="s">
        <v>50</v>
      </c>
      <c r="D16" s="43">
        <v>0.4583333333333333</v>
      </c>
      <c r="E16" s="43">
        <v>0.5833333333333334</v>
      </c>
      <c r="F16" s="43">
        <v>0.4583333333333333</v>
      </c>
      <c r="G16" s="43">
        <v>0.5833333333333334</v>
      </c>
      <c r="H16" s="96">
        <v>3</v>
      </c>
      <c r="I16" s="23"/>
      <c r="J16" s="23"/>
      <c r="K16" s="24" t="s">
        <v>13</v>
      </c>
      <c r="L16" s="97"/>
      <c r="M16" s="44">
        <f>IF(AND(ISNUMBER(D16),ISNUMBER(E16)),IF(E16&gt;D16,(E16-D16)*24,""),"")</f>
        <v>3.0</v>
      </c>
      <c r="N16" s="45">
        <f>IF(AND(ISNUMBER(F16),ISNUMBER(G16)),IF(G16&gt;F16,(G16-F16)*24,""),"")</f>
        <v>3.0</v>
      </c>
      <c r="O16" s="46">
        <f>IF(J16="X",0,IF(ISNUMBER(H16),H16,IF(ISNUMBER(N16),N16,"")))</f>
        <v>3.0</v>
      </c>
      <c r="P16" s="47">
        <f>IF(AND(ISNUMBER(H16),ISNUMBER(N16)),H16-N16,"")</f>
        <v>0.0</v>
      </c>
      <c r="Q16" s="98" t="s">
        <v>49</v>
      </c>
    </row>
    <row r="17" spans="1:17" ht="18" customHeight="1">
      <c r="A17" s="23">
        <v>4</v>
      </c>
      <c r="B17" s="94">
        <v>46057</v>
      </c>
      <c r="C17" s="95" t="s">
        <v>51</v>
      </c>
      <c r="D17" s="24"/>
      <c r="E17" s="24"/>
      <c r="F17" s="24"/>
      <c r="G17" s="24"/>
      <c r="H17" s="23"/>
      <c r="I17" s="23"/>
      <c r="J17" s="23"/>
      <c r="K17" s="24"/>
      <c r="L17" s="97"/>
      <c r="M17" s="44">
        <f>IF(AND(ISNUMBER(D17),ISNUMBER(E17)),IF(E17&gt;D17,(E17-D17)*24,""),"")</f>
        <v/>
      </c>
      <c r="N17" s="45">
        <f>IF(AND(ISNUMBER(F17),ISNUMBER(G17)),IF(G17&gt;F17,(G17-F17)*24,""),"")</f>
        <v/>
      </c>
      <c r="O17" s="46">
        <f>IF(J17="X",0,IF(ISNUMBER(H17),H17,IF(ISNUMBER(N17),N17,"")))</f>
        <v/>
      </c>
      <c r="P17" s="47">
        <f>IF(AND(ISNUMBER(H17),ISNUMBER(N17)),H17-N17,"")</f>
        <v/>
      </c>
      <c r="Q17" s="130"/>
    </row>
    <row r="18" spans="1:17" ht="18" customHeight="1">
      <c r="A18" s="23">
        <v>5</v>
      </c>
      <c r="B18" s="94">
        <v>46058</v>
      </c>
      <c r="C18" s="95" t="s">
        <v>52</v>
      </c>
      <c r="D18" s="43">
        <v>0.4583333333333333</v>
      </c>
      <c r="E18" s="43">
        <v>0.5833333333333334</v>
      </c>
      <c r="F18" s="66">
        <v>0.4583333333333333</v>
      </c>
      <c r="G18" s="43">
        <v>0.5833333333333334</v>
      </c>
      <c r="H18" s="96">
        <v>3</v>
      </c>
      <c r="I18" s="23"/>
      <c r="J18" s="23"/>
      <c r="K18" s="24" t="s">
        <v>13</v>
      </c>
      <c r="L18" s="97"/>
      <c r="M18" s="44">
        <f>IF(AND(ISNUMBER(D18),ISNUMBER(E18)),IF(E18&gt;D18,(E18-D18)*24,""),"")</f>
        <v>3.0</v>
      </c>
      <c r="N18" s="45">
        <f>IF(AND(ISNUMBER(F18),ISNUMBER(G18)),IF(G18&gt;F18,(G18-F18)*24,""),"")</f>
        <v>3.0</v>
      </c>
      <c r="O18" s="46">
        <f>IF(J18="X",0,IF(ISNUMBER(H18),H18,IF(ISNUMBER(N18),N18,"")))</f>
        <v>3.0</v>
      </c>
      <c r="P18" s="47">
        <f>IF(AND(ISNUMBER(H18),ISNUMBER(N18)),H18-N18,"")</f>
        <v>0.0</v>
      </c>
      <c r="Q18" s="98" t="s">
        <v>49</v>
      </c>
    </row>
    <row r="19" spans="1:17" ht="18" customHeight="1">
      <c r="A19" s="23">
        <v>6</v>
      </c>
      <c r="B19" s="94">
        <v>46059</v>
      </c>
      <c r="C19" s="95" t="s">
        <v>53</v>
      </c>
      <c r="D19" s="43">
        <v>0.4583333333333333</v>
      </c>
      <c r="E19" s="43">
        <v>0.5833333333333334</v>
      </c>
      <c r="F19" s="43">
        <v>0.4583333333333333</v>
      </c>
      <c r="G19" s="43">
        <v>0.5833333333333334</v>
      </c>
      <c r="H19" s="96">
        <v>3</v>
      </c>
      <c r="I19" s="23"/>
      <c r="J19" s="23"/>
      <c r="K19" s="24" t="s">
        <v>13</v>
      </c>
      <c r="L19" s="97"/>
      <c r="M19" s="44">
        <f>IF(AND(ISNUMBER(D19),ISNUMBER(E19)),IF(E19&gt;D19,(E19-D19)*24,""),"")</f>
        <v>3.0</v>
      </c>
      <c r="N19" s="45">
        <f>IF(AND(ISNUMBER(F19),ISNUMBER(G19)),IF(G19&gt;F19,(G19-F19)*24,""),"")</f>
        <v>3.0</v>
      </c>
      <c r="O19" s="46">
        <f>IF(J19="X",0,IF(ISNUMBER(H19),H19,IF(ISNUMBER(N19),N19,"")))</f>
        <v>3.0</v>
      </c>
      <c r="P19" s="47">
        <f>IF(AND(ISNUMBER(H19),ISNUMBER(N19)),H19-N19,"")</f>
        <v>0.0</v>
      </c>
      <c r="Q19" s="98" t="s">
        <v>49</v>
      </c>
    </row>
    <row r="20" spans="1:17" ht="18" customHeight="1">
      <c r="A20" s="89">
        <v>7</v>
      </c>
      <c r="B20" s="90">
        <v>46060</v>
      </c>
      <c r="C20" s="99" t="s">
        <v>54</v>
      </c>
      <c r="D20" s="57"/>
      <c r="E20" s="57"/>
      <c r="F20" s="57"/>
      <c r="G20" s="57"/>
      <c r="H20" s="89"/>
      <c r="I20" s="89"/>
      <c r="J20" s="89"/>
      <c r="K20" s="57"/>
      <c r="L20" s="92"/>
      <c r="M20" s="59">
        <f>IF(AND(ISNUMBER(D20),ISNUMBER(E20)),IF(E20&gt;D20,(E20-D20)*24,""),"")</f>
        <v/>
      </c>
      <c r="N20" s="60">
        <f>IF(AND(ISNUMBER(F20),ISNUMBER(G20)),IF(G20&gt;F20,(G20-F20)*24,""),"")</f>
        <v/>
      </c>
      <c r="O20" s="61">
        <f>IF(J20="X",0,IF(ISNUMBER(H20),H20,IF(ISNUMBER(N20),N20,"")))</f>
        <v/>
      </c>
      <c r="P20" s="62">
        <f>IF(AND(ISNUMBER(H20),ISNUMBER(N20)),H20-N20,"")</f>
        <v/>
      </c>
      <c r="Q20" s="93" t="s">
        <v>55</v>
      </c>
    </row>
    <row r="21" spans="1:17" ht="18" customHeight="1">
      <c r="A21" s="89">
        <v>8</v>
      </c>
      <c r="B21" s="90">
        <v>46061</v>
      </c>
      <c r="C21" s="91" t="s">
        <v>46</v>
      </c>
      <c r="D21" s="57"/>
      <c r="E21" s="57"/>
      <c r="F21" s="57"/>
      <c r="G21" s="57"/>
      <c r="H21" s="89"/>
      <c r="I21" s="89"/>
      <c r="J21" s="89"/>
      <c r="K21" s="57"/>
      <c r="L21" s="92"/>
      <c r="M21" s="59">
        <f>IF(AND(ISNUMBER(D21),ISNUMBER(E21)),IF(E21&gt;D21,(E21-D21)*24,""),"")</f>
        <v/>
      </c>
      <c r="N21" s="60">
        <f>IF(AND(ISNUMBER(F21),ISNUMBER(G21)),IF(G21&gt;F21,(G21-F21)*24,""),"")</f>
        <v/>
      </c>
      <c r="O21" s="61">
        <f>IF(J21="X",0,IF(ISNUMBER(H21),H21,IF(ISNUMBER(N21),N21,"")))</f>
        <v/>
      </c>
      <c r="P21" s="62">
        <f>IF(AND(ISNUMBER(H21),ISNUMBER(N21)),H21-N21,"")</f>
        <v/>
      </c>
      <c r="Q21" s="93" t="s">
        <v>47</v>
      </c>
    </row>
    <row r="22" spans="1:17" ht="18" customHeight="1">
      <c r="A22" s="23">
        <v>9</v>
      </c>
      <c r="B22" s="94">
        <v>46062</v>
      </c>
      <c r="C22" s="95" t="s">
        <v>48</v>
      </c>
      <c r="D22" s="43">
        <v>0.4583333333333333</v>
      </c>
      <c r="E22" s="43">
        <v>0.5833333333333334</v>
      </c>
      <c r="F22" s="43">
        <v>0.4583333333333333</v>
      </c>
      <c r="G22" s="43">
        <v>0.5833333333333334</v>
      </c>
      <c r="H22" s="96">
        <v>3</v>
      </c>
      <c r="I22" s="23"/>
      <c r="J22" s="23"/>
      <c r="K22" s="24" t="s">
        <v>13</v>
      </c>
      <c r="L22" s="97"/>
      <c r="M22" s="44">
        <f>IF(AND(ISNUMBER(D22),ISNUMBER(E22)),IF(E22&gt;D22,(E22-D22)*24,""),"")</f>
        <v>3.0</v>
      </c>
      <c r="N22" s="45">
        <f>IF(AND(ISNUMBER(F22),ISNUMBER(G22)),IF(G22&gt;F22,(G22-F22)*24,""),"")</f>
        <v>3.0</v>
      </c>
      <c r="O22" s="46">
        <f>IF(J22="X",0,IF(ISNUMBER(H22),H22,IF(ISNUMBER(N22),N22,"")))</f>
        <v>3.0</v>
      </c>
      <c r="P22" s="47">
        <f>IF(AND(ISNUMBER(H22),ISNUMBER(N22)),H22-N22,"")</f>
        <v>0.0</v>
      </c>
      <c r="Q22" s="98" t="s">
        <v>49</v>
      </c>
    </row>
    <row r="23" spans="1:17" ht="18" customHeight="1">
      <c r="A23" s="23">
        <v>10</v>
      </c>
      <c r="B23" s="94">
        <v>46063</v>
      </c>
      <c r="C23" s="95" t="s">
        <v>50</v>
      </c>
      <c r="D23" s="43">
        <v>0.4583333333333333</v>
      </c>
      <c r="E23" s="43">
        <v>0.5833333333333334</v>
      </c>
      <c r="F23" s="24"/>
      <c r="G23" s="24"/>
      <c r="H23" s="23"/>
      <c r="I23" s="23"/>
      <c r="J23" s="23" t="s">
        <v>112</v>
      </c>
      <c r="K23" s="24"/>
      <c r="L23" s="97" t="s">
        <v>113</v>
      </c>
      <c r="M23" s="44">
        <f>IF(AND(ISNUMBER(D23),ISNUMBER(E23)),IF(E23&gt;D23,(E23-D23)*24,""),"")</f>
        <v>3.0</v>
      </c>
      <c r="N23" s="45">
        <f>IF(AND(ISNUMBER(F23),ISNUMBER(G23)),IF(G23&gt;F23,(G23-F23)*24,""),"")</f>
        <v/>
      </c>
      <c r="O23" s="46">
        <f>IF(J23="X",0,IF(ISNUMBER(H23),H23,IF(ISNUMBER(N23),N23,"")))</f>
        <v>0.0</v>
      </c>
      <c r="P23" s="47">
        <f>IF(AND(ISNUMBER(H23),ISNUMBER(N23)),H23-N23,"")</f>
        <v/>
      </c>
      <c r="Q23" s="131" t="s">
        <v>34</v>
      </c>
    </row>
    <row r="24" spans="1:17" ht="18" customHeight="1">
      <c r="A24" s="23">
        <v>11</v>
      </c>
      <c r="B24" s="94">
        <v>46064</v>
      </c>
      <c r="C24" s="95" t="s">
        <v>51</v>
      </c>
      <c r="D24" s="24"/>
      <c r="E24" s="24"/>
      <c r="F24" s="24"/>
      <c r="G24" s="24"/>
      <c r="H24" s="23"/>
      <c r="I24" s="23"/>
      <c r="J24" s="23"/>
      <c r="K24" s="24"/>
      <c r="L24" s="97"/>
      <c r="M24" s="44">
        <f>IF(AND(ISNUMBER(D24),ISNUMBER(E24)),IF(E24&gt;D24,(E24-D24)*24,""),"")</f>
        <v/>
      </c>
      <c r="N24" s="45">
        <f>IF(AND(ISNUMBER(F24),ISNUMBER(G24)),IF(G24&gt;F24,(G24-F24)*24,""),"")</f>
        <v/>
      </c>
      <c r="O24" s="46">
        <f>IF(J24="X",0,IF(ISNUMBER(H24),H24,IF(ISNUMBER(N24),N24,"")))</f>
        <v/>
      </c>
      <c r="P24" s="47">
        <f>IF(AND(ISNUMBER(H24),ISNUMBER(N24)),H24-N24,"")</f>
        <v/>
      </c>
      <c r="Q24" s="130"/>
    </row>
    <row r="25" spans="1:17" ht="18" customHeight="1">
      <c r="A25" s="23">
        <v>12</v>
      </c>
      <c r="B25" s="94">
        <v>46065</v>
      </c>
      <c r="C25" s="95" t="s">
        <v>52</v>
      </c>
      <c r="D25" s="43">
        <v>0.4583333333333333</v>
      </c>
      <c r="E25" s="43">
        <v>0.5833333333333334</v>
      </c>
      <c r="F25" s="43">
        <v>0.4583333333333333</v>
      </c>
      <c r="G25" s="43">
        <v>0.5833333333333334</v>
      </c>
      <c r="H25" s="96">
        <v>3</v>
      </c>
      <c r="I25" s="23"/>
      <c r="J25" s="23"/>
      <c r="K25" s="24" t="s">
        <v>13</v>
      </c>
      <c r="L25" s="97"/>
      <c r="M25" s="44">
        <f>IF(AND(ISNUMBER(D25),ISNUMBER(E25)),IF(E25&gt;D25,(E25-D25)*24,""),"")</f>
        <v>3.0</v>
      </c>
      <c r="N25" s="45">
        <f>IF(AND(ISNUMBER(F25),ISNUMBER(G25)),IF(G25&gt;F25,(G25-F25)*24,""),"")</f>
        <v>3.0</v>
      </c>
      <c r="O25" s="46">
        <f>IF(J25="X",0,IF(ISNUMBER(H25),H25,IF(ISNUMBER(N25),N25,"")))</f>
        <v>3.0</v>
      </c>
      <c r="P25" s="47">
        <f>IF(AND(ISNUMBER(H25),ISNUMBER(N25)),H25-N25,"")</f>
        <v>0.0</v>
      </c>
      <c r="Q25" s="98" t="s">
        <v>49</v>
      </c>
    </row>
    <row r="26" spans="1:17" ht="18" customHeight="1">
      <c r="A26" s="23">
        <v>13</v>
      </c>
      <c r="B26" s="94">
        <v>46066</v>
      </c>
      <c r="C26" s="95" t="s">
        <v>53</v>
      </c>
      <c r="D26" s="43">
        <v>0.4583333333333333</v>
      </c>
      <c r="E26" s="43">
        <v>0.5833333333333334</v>
      </c>
      <c r="F26" s="43">
        <v>0.4583333333333333</v>
      </c>
      <c r="G26" s="43">
        <v>0.5833333333333334</v>
      </c>
      <c r="H26" s="96">
        <v>3</v>
      </c>
      <c r="I26" s="23"/>
      <c r="J26" s="23"/>
      <c r="K26" s="24" t="s">
        <v>13</v>
      </c>
      <c r="L26" s="97"/>
      <c r="M26" s="44">
        <f>IF(AND(ISNUMBER(D26),ISNUMBER(E26)),IF(E26&gt;D26,(E26-D26)*24,""),"")</f>
        <v>3.0</v>
      </c>
      <c r="N26" s="45">
        <f>IF(AND(ISNUMBER(F26),ISNUMBER(G26)),IF(G26&gt;F26,(G26-F26)*24,""),"")</f>
        <v>3.0</v>
      </c>
      <c r="O26" s="46">
        <f>IF(J26="X",0,IF(ISNUMBER(H26),H26,IF(ISNUMBER(N26),N26,"")))</f>
        <v>3.0</v>
      </c>
      <c r="P26" s="47">
        <f>IF(AND(ISNUMBER(H26),ISNUMBER(N26)),H26-N26,"")</f>
        <v>0.0</v>
      </c>
      <c r="Q26" s="98" t="s">
        <v>49</v>
      </c>
    </row>
    <row r="27" spans="1:17" ht="18" customHeight="1">
      <c r="A27" s="89">
        <v>14</v>
      </c>
      <c r="B27" s="90">
        <v>46067</v>
      </c>
      <c r="C27" s="99" t="s">
        <v>54</v>
      </c>
      <c r="D27" s="57"/>
      <c r="E27" s="57"/>
      <c r="F27" s="57"/>
      <c r="G27" s="57"/>
      <c r="H27" s="89"/>
      <c r="I27" s="89"/>
      <c r="J27" s="89"/>
      <c r="K27" s="57"/>
      <c r="L27" s="92"/>
      <c r="M27" s="59">
        <f>IF(AND(ISNUMBER(D27),ISNUMBER(E27)),IF(E27&gt;D27,(E27-D27)*24,""),"")</f>
        <v/>
      </c>
      <c r="N27" s="60">
        <f>IF(AND(ISNUMBER(F27),ISNUMBER(G27)),IF(G27&gt;F27,(G27-F27)*24,""),"")</f>
        <v/>
      </c>
      <c r="O27" s="61">
        <f>IF(J27="X",0,IF(ISNUMBER(H27),H27,IF(ISNUMBER(N27),N27,"")))</f>
        <v/>
      </c>
      <c r="P27" s="62">
        <f>IF(AND(ISNUMBER(H27),ISNUMBER(N27)),H27-N27,"")</f>
        <v/>
      </c>
      <c r="Q27" s="93" t="s">
        <v>55</v>
      </c>
    </row>
    <row r="28" spans="1:17" ht="18" customHeight="1">
      <c r="A28" s="89">
        <v>15</v>
      </c>
      <c r="B28" s="90">
        <v>46068</v>
      </c>
      <c r="C28" s="91" t="s">
        <v>46</v>
      </c>
      <c r="D28" s="57"/>
      <c r="E28" s="57"/>
      <c r="F28" s="57"/>
      <c r="G28" s="57"/>
      <c r="H28" s="89"/>
      <c r="I28" s="89"/>
      <c r="J28" s="89"/>
      <c r="K28" s="57"/>
      <c r="L28" s="92"/>
      <c r="M28" s="59">
        <f>IF(AND(ISNUMBER(D28),ISNUMBER(E28)),IF(E28&gt;D28,(E28-D28)*24,""),"")</f>
        <v/>
      </c>
      <c r="N28" s="60">
        <f>IF(AND(ISNUMBER(F28),ISNUMBER(G28)),IF(G28&gt;F28,(G28-F28)*24,""),"")</f>
        <v/>
      </c>
      <c r="O28" s="61">
        <f>IF(J28="X",0,IF(ISNUMBER(H28),H28,IF(ISNUMBER(N28),N28,"")))</f>
        <v/>
      </c>
      <c r="P28" s="62">
        <f>IF(AND(ISNUMBER(H28),ISNUMBER(N28)),H28-N28,"")</f>
        <v/>
      </c>
      <c r="Q28" s="93" t="s">
        <v>47</v>
      </c>
    </row>
    <row r="29" spans="1:17" ht="18" customHeight="1">
      <c r="A29" s="23">
        <v>16</v>
      </c>
      <c r="B29" s="94">
        <v>46069</v>
      </c>
      <c r="C29" s="95" t="s">
        <v>48</v>
      </c>
      <c r="D29" s="43">
        <v>0.4583333333333333</v>
      </c>
      <c r="E29" s="43">
        <v>0.5833333333333334</v>
      </c>
      <c r="F29" s="43">
        <v>0.4583333333333333</v>
      </c>
      <c r="G29" s="43">
        <v>0.5833333333333334</v>
      </c>
      <c r="H29" s="96">
        <v>3</v>
      </c>
      <c r="I29" s="23"/>
      <c r="J29" s="23"/>
      <c r="K29" s="24" t="s">
        <v>13</v>
      </c>
      <c r="L29" s="97"/>
      <c r="M29" s="44">
        <f>IF(AND(ISNUMBER(D29),ISNUMBER(E29)),IF(E29&gt;D29,(E29-D29)*24,""),"")</f>
        <v>3.0</v>
      </c>
      <c r="N29" s="45">
        <f>IF(AND(ISNUMBER(F29),ISNUMBER(G29)),IF(G29&gt;F29,(G29-F29)*24,""),"")</f>
        <v>3.0</v>
      </c>
      <c r="O29" s="46">
        <f>IF(J29="X",0,IF(ISNUMBER(H29),H29,IF(ISNUMBER(N29),N29,"")))</f>
        <v>3.0</v>
      </c>
      <c r="P29" s="47">
        <f>IF(AND(ISNUMBER(H29),ISNUMBER(N29)),H29-N29,"")</f>
        <v>0.0</v>
      </c>
      <c r="Q29" s="98" t="s">
        <v>49</v>
      </c>
    </row>
    <row r="30" spans="1:17" ht="18" customHeight="1">
      <c r="A30" s="23">
        <v>17</v>
      </c>
      <c r="B30" s="94">
        <v>46070</v>
      </c>
      <c r="C30" s="95" t="s">
        <v>50</v>
      </c>
      <c r="D30" s="43">
        <v>0.4583333333333333</v>
      </c>
      <c r="E30" s="43">
        <v>0.5833333333333334</v>
      </c>
      <c r="F30" s="43">
        <v>0.4583333333333333</v>
      </c>
      <c r="G30" s="43">
        <v>0.5833333333333334</v>
      </c>
      <c r="H30" s="96">
        <v>3</v>
      </c>
      <c r="I30" s="23"/>
      <c r="J30" s="23"/>
      <c r="K30" s="24" t="s">
        <v>13</v>
      </c>
      <c r="L30" s="97"/>
      <c r="M30" s="44">
        <f>IF(AND(ISNUMBER(D30),ISNUMBER(E30)),IF(E30&gt;D30,(E30-D30)*24,""),"")</f>
        <v>3.0</v>
      </c>
      <c r="N30" s="45">
        <f>IF(AND(ISNUMBER(F30),ISNUMBER(G30)),IF(G30&gt;F30,(G30-F30)*24,""),"")</f>
        <v>3.0</v>
      </c>
      <c r="O30" s="46">
        <f>IF(J30="X",0,IF(ISNUMBER(H30),H30,IF(ISNUMBER(N30),N30,"")))</f>
        <v>3.0</v>
      </c>
      <c r="P30" s="47">
        <f>IF(AND(ISNUMBER(H30),ISNUMBER(N30)),H30-N30,"")</f>
        <v>0.0</v>
      </c>
      <c r="Q30" s="98" t="s">
        <v>49</v>
      </c>
    </row>
    <row r="31" spans="1:17" ht="18" customHeight="1">
      <c r="A31" s="23">
        <v>18</v>
      </c>
      <c r="B31" s="94">
        <v>46071</v>
      </c>
      <c r="C31" s="95" t="s">
        <v>51</v>
      </c>
      <c r="D31" s="24"/>
      <c r="E31" s="24"/>
      <c r="F31" s="24"/>
      <c r="G31" s="24"/>
      <c r="H31" s="23"/>
      <c r="I31" s="23"/>
      <c r="J31" s="23"/>
      <c r="K31" s="24"/>
      <c r="L31" s="97"/>
      <c r="M31" s="44">
        <f>IF(AND(ISNUMBER(D31),ISNUMBER(E31)),IF(E31&gt;D31,(E31-D31)*24,""),"")</f>
        <v/>
      </c>
      <c r="N31" s="45">
        <f>IF(AND(ISNUMBER(F31),ISNUMBER(G31)),IF(G31&gt;F31,(G31-F31)*24,""),"")</f>
        <v/>
      </c>
      <c r="O31" s="46">
        <f>IF(J31="X",0,IF(ISNUMBER(H31),H31,IF(ISNUMBER(N31),N31,"")))</f>
        <v/>
      </c>
      <c r="P31" s="47">
        <f>IF(AND(ISNUMBER(H31),ISNUMBER(N31)),H31-N31,"")</f>
        <v/>
      </c>
      <c r="Q31" s="130"/>
    </row>
    <row r="32" spans="1:17" ht="18" customHeight="1">
      <c r="A32" s="23">
        <v>19</v>
      </c>
      <c r="B32" s="94">
        <v>46072</v>
      </c>
      <c r="C32" s="95" t="s">
        <v>52</v>
      </c>
      <c r="D32" s="43">
        <v>0.4583333333333333</v>
      </c>
      <c r="E32" s="43">
        <v>0.5833333333333334</v>
      </c>
      <c r="F32" s="43">
        <v>0.4583333333333333</v>
      </c>
      <c r="G32" s="43">
        <v>0.5833333333333334</v>
      </c>
      <c r="H32" s="96">
        <v>3</v>
      </c>
      <c r="I32" s="23"/>
      <c r="J32" s="23"/>
      <c r="K32" s="24" t="s">
        <v>13</v>
      </c>
      <c r="L32" s="97"/>
      <c r="M32" s="44">
        <f>IF(AND(ISNUMBER(D32),ISNUMBER(E32)),IF(E32&gt;D32,(E32-D32)*24,""),"")</f>
        <v>3.0</v>
      </c>
      <c r="N32" s="45">
        <f>IF(AND(ISNUMBER(F32),ISNUMBER(G32)),IF(G32&gt;F32,(G32-F32)*24,""),"")</f>
        <v>3.0</v>
      </c>
      <c r="O32" s="46">
        <f>IF(J32="X",0,IF(ISNUMBER(H32),H32,IF(ISNUMBER(N32),N32,"")))</f>
        <v>3.0</v>
      </c>
      <c r="P32" s="47">
        <f>IF(AND(ISNUMBER(H32),ISNUMBER(N32)),H32-N32,"")</f>
        <v>0.0</v>
      </c>
      <c r="Q32" s="98" t="s">
        <v>49</v>
      </c>
    </row>
    <row r="33" spans="1:17" ht="18" customHeight="1">
      <c r="A33" s="23">
        <v>20</v>
      </c>
      <c r="B33" s="94">
        <v>46073</v>
      </c>
      <c r="C33" s="95" t="s">
        <v>53</v>
      </c>
      <c r="D33" s="43">
        <v>0.4583333333333333</v>
      </c>
      <c r="E33" s="43">
        <v>0.5833333333333334</v>
      </c>
      <c r="F33" s="43">
        <v>0.4583333333333333</v>
      </c>
      <c r="G33" s="43">
        <v>0.5833333333333334</v>
      </c>
      <c r="H33" s="96">
        <v>3</v>
      </c>
      <c r="I33" s="23"/>
      <c r="J33" s="23"/>
      <c r="K33" s="24" t="s">
        <v>13</v>
      </c>
      <c r="L33" s="97"/>
      <c r="M33" s="44">
        <f>IF(AND(ISNUMBER(D33),ISNUMBER(E33)),IF(E33&gt;D33,(E33-D33)*24,""),"")</f>
        <v>3.0</v>
      </c>
      <c r="N33" s="45">
        <f>IF(AND(ISNUMBER(F33),ISNUMBER(G33)),IF(G33&gt;F33,(G33-F33)*24,""),"")</f>
        <v>3.0</v>
      </c>
      <c r="O33" s="46">
        <f>IF(J33="X",0,IF(ISNUMBER(H33),H33,IF(ISNUMBER(N33),N33,"")))</f>
        <v>3.0</v>
      </c>
      <c r="P33" s="47">
        <f>IF(AND(ISNUMBER(H33),ISNUMBER(N33)),H33-N33,"")</f>
        <v>0.0</v>
      </c>
      <c r="Q33" s="98" t="s">
        <v>49</v>
      </c>
    </row>
    <row r="34" spans="1:17" ht="18" customHeight="1">
      <c r="A34" s="89">
        <v>21</v>
      </c>
      <c r="B34" s="90">
        <v>46074</v>
      </c>
      <c r="C34" s="99" t="s">
        <v>54</v>
      </c>
      <c r="D34" s="57"/>
      <c r="E34" s="57"/>
      <c r="F34" s="57"/>
      <c r="G34" s="57"/>
      <c r="H34" s="89"/>
      <c r="I34" s="89"/>
      <c r="J34" s="89"/>
      <c r="K34" s="57"/>
      <c r="L34" s="92"/>
      <c r="M34" s="59">
        <f>IF(AND(ISNUMBER(D34),ISNUMBER(E34)),IF(E34&gt;D34,(E34-D34)*24,""),"")</f>
        <v/>
      </c>
      <c r="N34" s="60">
        <f>IF(AND(ISNUMBER(F34),ISNUMBER(G34)),IF(G34&gt;F34,(G34-F34)*24,""),"")</f>
        <v/>
      </c>
      <c r="O34" s="61">
        <f>IF(J34="X",0,IF(ISNUMBER(H34),H34,IF(ISNUMBER(N34),N34,"")))</f>
        <v/>
      </c>
      <c r="P34" s="62">
        <f>IF(AND(ISNUMBER(H34),ISNUMBER(N34)),H34-N34,"")</f>
        <v/>
      </c>
      <c r="Q34" s="93" t="s">
        <v>55</v>
      </c>
    </row>
    <row r="35" spans="1:17" ht="18" customHeight="1">
      <c r="A35" s="89">
        <v>22</v>
      </c>
      <c r="B35" s="90">
        <v>46075</v>
      </c>
      <c r="C35" s="91" t="s">
        <v>46</v>
      </c>
      <c r="D35" s="57"/>
      <c r="E35" s="57"/>
      <c r="F35" s="57"/>
      <c r="G35" s="57"/>
      <c r="H35" s="89"/>
      <c r="I35" s="89"/>
      <c r="J35" s="89"/>
      <c r="K35" s="57"/>
      <c r="L35" s="92"/>
      <c r="M35" s="59">
        <f>IF(AND(ISNUMBER(D35),ISNUMBER(E35)),IF(E35&gt;D35,(E35-D35)*24,""),"")</f>
        <v/>
      </c>
      <c r="N35" s="60">
        <f>IF(AND(ISNUMBER(F35),ISNUMBER(G35)),IF(G35&gt;F35,(G35-F35)*24,""),"")</f>
        <v/>
      </c>
      <c r="O35" s="61">
        <f>IF(J35="X",0,IF(ISNUMBER(H35),H35,IF(ISNUMBER(N35),N35,"")))</f>
        <v/>
      </c>
      <c r="P35" s="62">
        <f>IF(AND(ISNUMBER(H35),ISNUMBER(N35)),H35-N35,"")</f>
        <v/>
      </c>
      <c r="Q35" s="93" t="s">
        <v>47</v>
      </c>
    </row>
    <row r="36" spans="1:17" ht="18" customHeight="1">
      <c r="A36" s="23">
        <v>23</v>
      </c>
      <c r="B36" s="94">
        <v>46076</v>
      </c>
      <c r="C36" s="95" t="s">
        <v>48</v>
      </c>
      <c r="D36" s="43">
        <v>0.4583333333333333</v>
      </c>
      <c r="E36" s="43">
        <v>0.5833333333333334</v>
      </c>
      <c r="F36" s="43">
        <v>0.4583333333333333</v>
      </c>
      <c r="G36" s="43">
        <v>0.5833333333333334</v>
      </c>
      <c r="H36" s="96">
        <v>3</v>
      </c>
      <c r="I36" s="23"/>
      <c r="J36" s="23"/>
      <c r="K36" s="24" t="s">
        <v>13</v>
      </c>
      <c r="L36" s="97"/>
      <c r="M36" s="44">
        <f>IF(AND(ISNUMBER(D36),ISNUMBER(E36)),IF(E36&gt;D36,(E36-D36)*24,""),"")</f>
        <v>3.0</v>
      </c>
      <c r="N36" s="45">
        <f>IF(AND(ISNUMBER(F36),ISNUMBER(G36)),IF(G36&gt;F36,(G36-F36)*24,""),"")</f>
        <v>3.0</v>
      </c>
      <c r="O36" s="46">
        <f>IF(J36="X",0,IF(ISNUMBER(H36),H36,IF(ISNUMBER(N36),N36,"")))</f>
        <v>3.0</v>
      </c>
      <c r="P36" s="47">
        <f>IF(AND(ISNUMBER(H36),ISNUMBER(N36)),H36-N36,"")</f>
        <v>0.0</v>
      </c>
      <c r="Q36" s="98" t="s">
        <v>49</v>
      </c>
    </row>
    <row r="37" spans="1:17" ht="18" customHeight="1">
      <c r="A37" s="23">
        <v>24</v>
      </c>
      <c r="B37" s="94">
        <v>46077</v>
      </c>
      <c r="C37" s="95" t="s">
        <v>50</v>
      </c>
      <c r="D37" s="43">
        <v>0.4583333333333333</v>
      </c>
      <c r="E37" s="43">
        <v>0.5833333333333334</v>
      </c>
      <c r="F37" s="43">
        <v>0.4583333333333333</v>
      </c>
      <c r="G37" s="43">
        <v>0.5833333333333334</v>
      </c>
      <c r="H37" s="96">
        <v>3</v>
      </c>
      <c r="I37" s="23"/>
      <c r="J37" s="23"/>
      <c r="K37" s="24" t="s">
        <v>13</v>
      </c>
      <c r="L37" s="97"/>
      <c r="M37" s="44">
        <f>IF(AND(ISNUMBER(D37),ISNUMBER(E37)),IF(E37&gt;D37,(E37-D37)*24,""),"")</f>
        <v>3.0</v>
      </c>
      <c r="N37" s="45">
        <f>IF(AND(ISNUMBER(F37),ISNUMBER(G37)),IF(G37&gt;F37,(G37-F37)*24,""),"")</f>
        <v>3.0</v>
      </c>
      <c r="O37" s="46">
        <f>IF(J37="X",0,IF(ISNUMBER(H37),H37,IF(ISNUMBER(N37),N37,"")))</f>
        <v>3.0</v>
      </c>
      <c r="P37" s="47">
        <f>IF(AND(ISNUMBER(H37),ISNUMBER(N37)),H37-N37,"")</f>
        <v>0.0</v>
      </c>
      <c r="Q37" s="98" t="s">
        <v>49</v>
      </c>
    </row>
    <row r="38" spans="1:17" ht="18" customHeight="1">
      <c r="A38" s="23">
        <v>25</v>
      </c>
      <c r="B38" s="94">
        <v>46078</v>
      </c>
      <c r="C38" s="95" t="s">
        <v>51</v>
      </c>
      <c r="D38" s="24"/>
      <c r="E38" s="24"/>
      <c r="F38" s="24"/>
      <c r="G38" s="24"/>
      <c r="H38" s="23"/>
      <c r="I38" s="23"/>
      <c r="J38" s="23"/>
      <c r="K38" s="24"/>
      <c r="L38" s="97"/>
      <c r="M38" s="44">
        <f>IF(AND(ISNUMBER(D38),ISNUMBER(E38)),IF(E38&gt;D38,(E38-D38)*24,""),"")</f>
        <v/>
      </c>
      <c r="N38" s="45">
        <f>IF(AND(ISNUMBER(F38),ISNUMBER(G38)),IF(G38&gt;F38,(G38-F38)*24,""),"")</f>
        <v/>
      </c>
      <c r="O38" s="46">
        <f>IF(J38="X",0,IF(ISNUMBER(H38),H38,IF(ISNUMBER(N38),N38,"")))</f>
        <v/>
      </c>
      <c r="P38" s="47">
        <f>IF(AND(ISNUMBER(H38),ISNUMBER(N38)),H38-N38,"")</f>
        <v/>
      </c>
      <c r="Q38" s="130"/>
    </row>
    <row r="39" spans="1:17" ht="18" customHeight="1">
      <c r="A39" s="23">
        <v>26</v>
      </c>
      <c r="B39" s="94">
        <v>46079</v>
      </c>
      <c r="C39" s="95" t="s">
        <v>52</v>
      </c>
      <c r="D39" s="43">
        <v>0.4583333333333333</v>
      </c>
      <c r="E39" s="43">
        <v>0.5833333333333334</v>
      </c>
      <c r="F39" s="43">
        <v>0.4583333333333333</v>
      </c>
      <c r="G39" s="43">
        <v>0.5833333333333334</v>
      </c>
      <c r="H39" s="96">
        <v>3</v>
      </c>
      <c r="I39" s="23"/>
      <c r="J39" s="23"/>
      <c r="K39" s="24" t="s">
        <v>13</v>
      </c>
      <c r="L39" s="97"/>
      <c r="M39" s="44">
        <f>IF(AND(ISNUMBER(D39),ISNUMBER(E39)),IF(E39&gt;D39,(E39-D39)*24,""),"")</f>
        <v>3.0</v>
      </c>
      <c r="N39" s="45">
        <f>IF(AND(ISNUMBER(F39),ISNUMBER(G39)),IF(G39&gt;F39,(G39-F39)*24,""),"")</f>
        <v>3.0</v>
      </c>
      <c r="O39" s="46">
        <f>IF(J39="X",0,IF(ISNUMBER(H39),H39,IF(ISNUMBER(N39),N39,"")))</f>
        <v>3.0</v>
      </c>
      <c r="P39" s="47">
        <f>IF(AND(ISNUMBER(H39),ISNUMBER(N39)),H39-N39,"")</f>
        <v>0.0</v>
      </c>
      <c r="Q39" s="98" t="s">
        <v>49</v>
      </c>
    </row>
    <row r="40" spans="1:17" ht="18" customHeight="1">
      <c r="A40" s="23">
        <v>27</v>
      </c>
      <c r="B40" s="94">
        <v>46080</v>
      </c>
      <c r="C40" s="95" t="s">
        <v>53</v>
      </c>
      <c r="D40" s="43">
        <v>0.4583333333333333</v>
      </c>
      <c r="E40" s="43">
        <v>0.5833333333333334</v>
      </c>
      <c r="F40" s="43">
        <v>0.4583333333333333</v>
      </c>
      <c r="G40" s="43">
        <v>0.5833333333333334</v>
      </c>
      <c r="H40" s="96">
        <v>3</v>
      </c>
      <c r="I40" s="23"/>
      <c r="J40" s="23"/>
      <c r="K40" s="24" t="s">
        <v>13</v>
      </c>
      <c r="L40" s="97"/>
      <c r="M40" s="44">
        <f>IF(AND(ISNUMBER(D40),ISNUMBER(E40)),IF(E40&gt;D40,(E40-D40)*24,""),"")</f>
        <v>3.0</v>
      </c>
      <c r="N40" s="45">
        <f>IF(AND(ISNUMBER(F40),ISNUMBER(G40)),IF(G40&gt;F40,(G40-F40)*24,""),"")</f>
        <v>3.0</v>
      </c>
      <c r="O40" s="46">
        <f>IF(J40="X",0,IF(ISNUMBER(H40),H40,IF(ISNUMBER(N40),N40,"")))</f>
        <v>3.0</v>
      </c>
      <c r="P40" s="47">
        <f>IF(AND(ISNUMBER(H40),ISNUMBER(N40)),H40-N40,"")</f>
        <v>0.0</v>
      </c>
      <c r="Q40" s="98" t="s">
        <v>49</v>
      </c>
    </row>
    <row r="41" spans="1:17" ht="18" customHeight="1">
      <c r="A41" s="89">
        <v>28</v>
      </c>
      <c r="B41" s="90">
        <v>46081</v>
      </c>
      <c r="C41" s="99" t="s">
        <v>54</v>
      </c>
      <c r="D41" s="57"/>
      <c r="E41" s="57"/>
      <c r="F41" s="57"/>
      <c r="G41" s="57"/>
      <c r="H41" s="89"/>
      <c r="I41" s="89"/>
      <c r="J41" s="89"/>
      <c r="K41" s="57"/>
      <c r="L41" s="92"/>
      <c r="M41" s="59">
        <f>IF(AND(ISNUMBER(D41),ISNUMBER(E41)),IF(E41&gt;D41,(E41-D41)*24,""),"")</f>
        <v/>
      </c>
      <c r="N41" s="60">
        <f>IF(AND(ISNUMBER(F41),ISNUMBER(G41)),IF(G41&gt;F41,(G41-F41)*24,""),"")</f>
        <v/>
      </c>
      <c r="O41" s="61">
        <f>IF(J41="X",0,IF(ISNUMBER(H41),H41,IF(ISNUMBER(N41),N41,"")))</f>
        <v/>
      </c>
      <c r="P41" s="62">
        <f>IF(AND(ISNUMBER(H41),ISNUMBER(N41)),H41-N41,"")</f>
        <v/>
      </c>
      <c r="Q41" s="93" t="s">
        <v>55</v>
      </c>
    </row>
    <row r="42" spans="1:17" ht="18" customHeight="1">
      <c r="A42" s="132">
        <v>29</v>
      </c>
      <c r="B42" s="133"/>
      <c r="C42" s="134"/>
      <c r="D42" s="135"/>
      <c r="E42" s="135"/>
      <c r="F42" s="135"/>
      <c r="G42" s="135"/>
      <c r="H42" s="132"/>
      <c r="I42" s="132"/>
      <c r="J42" s="132"/>
      <c r="K42" s="135"/>
      <c r="L42" s="136"/>
      <c r="M42" s="135"/>
      <c r="N42" s="135"/>
      <c r="O42" s="135"/>
      <c r="P42" s="135"/>
      <c r="Q42" s="137" t="s">
        <v>114</v>
      </c>
    </row>
    <row r="43" spans="1:17" ht="18" customHeight="1">
      <c r="A43" s="132">
        <v>30</v>
      </c>
      <c r="B43" s="133"/>
      <c r="C43" s="134"/>
      <c r="D43" s="135"/>
      <c r="E43" s="135"/>
      <c r="F43" s="135"/>
      <c r="G43" s="135"/>
      <c r="H43" s="132"/>
      <c r="I43" s="132"/>
      <c r="J43" s="132"/>
      <c r="K43" s="135"/>
      <c r="L43" s="136"/>
      <c r="M43" s="135"/>
      <c r="N43" s="135"/>
      <c r="O43" s="135"/>
      <c r="P43" s="135"/>
      <c r="Q43" s="137" t="s">
        <v>114</v>
      </c>
    </row>
    <row r="44" spans="1:17" ht="18" customHeight="1">
      <c r="A44" s="132">
        <v>31</v>
      </c>
      <c r="B44" s="133"/>
      <c r="C44" s="134"/>
      <c r="D44" s="135"/>
      <c r="E44" s="135"/>
      <c r="F44" s="135"/>
      <c r="G44" s="135"/>
      <c r="H44" s="132"/>
      <c r="I44" s="132"/>
      <c r="J44" s="132"/>
      <c r="K44" s="135"/>
      <c r="L44" s="136"/>
      <c r="M44" s="135"/>
      <c r="N44" s="135"/>
      <c r="O44" s="135"/>
      <c r="P44" s="135"/>
      <c r="Q44" s="137" t="s">
        <v>114</v>
      </c>
    </row>
    <row r="45" spans="1:17" ht="24" customHeight="1">
      <c r="A45" s="102" t="s">
        <v>57</v>
      </c>
      <c r="B45" s="102"/>
      <c r="C45" s="102"/>
      <c r="D45" s="102"/>
      <c r="E45" s="102"/>
      <c r="F45" s="102"/>
      <c r="G45" s="102"/>
      <c r="H45" s="103">
        <f>SUM(H14:H41)</f>
        <v>45.0</v>
      </c>
      <c r="I45" s="31">
        <f>COUNTIF(I14:I41,"X")</f>
        <v>0.0</v>
      </c>
      <c r="J45" s="31">
        <f>COUNTIF(J14:J41,"X")</f>
        <v>1.0</v>
      </c>
      <c r="K45" s="31">
        <f>COUNTIF(K14:K41,"Sì")</f>
        <v>15.0</v>
      </c>
      <c r="L45" s="104"/>
      <c r="M45" s="103">
        <f>SUM(M14:M41)</f>
        <v>48.0</v>
      </c>
      <c r="N45" s="103">
        <f>SUM(N14:N41)</f>
        <v>45.0</v>
      </c>
      <c r="O45" s="105">
        <f>SUM(O14:O41)</f>
        <v>45.0</v>
      </c>
      <c r="P45" s="104"/>
      <c r="Q45" s="104"/>
    </row>
    <row r="47" spans="1:17" ht="26" customHeight="1">
      <c r="A47" s="106" t="s">
        <v>58</v>
      </c>
      <c r="B47" s="106"/>
      <c r="C47" s="106"/>
      <c r="D47" s="106"/>
      <c r="E47" s="106"/>
      <c r="F47" s="106"/>
      <c r="G47" s="106"/>
      <c r="H47" s="106"/>
      <c r="I47" s="106"/>
      <c r="J47" s="106"/>
      <c r="L47" s="106" t="s">
        <v>59</v>
      </c>
      <c r="M47" s="106"/>
      <c r="N47" s="106"/>
      <c r="O47" s="106"/>
      <c r="P47" s="106"/>
      <c r="Q47" s="106"/>
    </row>
    <row r="48" spans="1:17" ht="30" customHeight="1">
      <c r="A48" s="107" t="s">
        <v>60</v>
      </c>
      <c r="B48" s="107"/>
      <c r="C48" s="107"/>
      <c r="D48" s="107"/>
      <c r="E48" s="107"/>
      <c r="F48" s="107"/>
      <c r="G48" s="107"/>
      <c r="H48" s="108">
        <v>45</v>
      </c>
      <c r="I48" s="108"/>
      <c r="J48" s="108"/>
      <c r="L48" s="11" t="s">
        <v>68</v>
      </c>
      <c r="M48" s="11" t="s">
        <v>43</v>
      </c>
      <c r="N48" s="11" t="s">
        <v>69</v>
      </c>
      <c r="O48" s="11" t="s">
        <v>70</v>
      </c>
      <c r="P48" s="11" t="s">
        <v>71</v>
      </c>
      <c r="Q48" s="11" t="s">
        <v>72</v>
      </c>
    </row>
    <row r="49" spans="1:17" ht="20" customHeight="1">
      <c r="A49" s="107" t="s">
        <v>61</v>
      </c>
      <c r="B49" s="107"/>
      <c r="C49" s="107"/>
      <c r="D49" s="107"/>
      <c r="E49" s="107"/>
      <c r="F49" s="107"/>
      <c r="G49" s="107"/>
      <c r="H49" s="109">
        <f>H45</f>
        <v>45.0</v>
      </c>
      <c r="I49" s="109"/>
      <c r="J49" s="109"/>
      <c r="L49" s="110" t="s">
        <v>115</v>
      </c>
      <c r="M49" s="96">
        <f>SUM(O14:O14)</f>
        <v>0.0</v>
      </c>
      <c r="N49" s="44">
        <v>0</v>
      </c>
      <c r="O49" s="44">
        <f>IF(ISNUMBER($L$6),$L$6,"")</f>
        <v>12.0</v>
      </c>
      <c r="P49" s="111">
        <f>IF(ISNUMBER(N49),M49-N49,"")</f>
        <v>0.0</v>
      </c>
      <c r="Q49" s="110" t="str">
        <f>IF(NOT(ISNUMBER(O49)),"Ore PEI non indicate",IF(M49&gt;O49+0.01,"Oltre il limite PEI","Entro il limite PEI"))</f>
        <v>Entro il limite PEI</v>
      </c>
    </row>
    <row r="50" spans="1:17" ht="20" customHeight="1">
      <c r="A50" s="107" t="s">
        <v>62</v>
      </c>
      <c r="B50" s="107"/>
      <c r="C50" s="107"/>
      <c r="D50" s="107"/>
      <c r="E50" s="107"/>
      <c r="F50" s="107"/>
      <c r="G50" s="107"/>
      <c r="H50" s="112">
        <f>IF(ISNUMBER(H48),H49-H48,"")</f>
        <v>0.0</v>
      </c>
      <c r="I50" s="112"/>
      <c r="J50" s="112"/>
      <c r="L50" s="110" t="s">
        <v>116</v>
      </c>
      <c r="M50" s="96">
        <f>SUM(O15:O21)</f>
        <v>12.0</v>
      </c>
      <c r="N50" s="44">
        <v>12</v>
      </c>
      <c r="O50" s="44">
        <f>IF(ISNUMBER($L$6),$L$6,"")</f>
        <v>12.0</v>
      </c>
      <c r="P50" s="111">
        <f>IF(ISNUMBER(N50),M50-N50,"")</f>
        <v>0.0</v>
      </c>
      <c r="Q50" s="110" t="str">
        <f>IF(NOT(ISNUMBER(O50)),"Ore PEI non indicate",IF(M50&gt;O50+0.01,"Oltre il limite PEI","Entro il limite PEI"))</f>
        <v>Entro il limite PEI</v>
      </c>
    </row>
    <row r="51" spans="1:17" ht="20" customHeight="1">
      <c r="A51" s="107" t="s">
        <v>63</v>
      </c>
      <c r="B51" s="107"/>
      <c r="C51" s="107"/>
      <c r="D51" s="107"/>
      <c r="E51" s="107"/>
      <c r="F51" s="107"/>
      <c r="G51" s="107"/>
      <c r="H51" s="113" t="str">
        <f>IF(ISNUMBER(H48),IF(ABS(H50)&lt;=0.01,"Corrisponde","Non corrisponde"),IF(ISBLANK(H48),"Totale non indicato","Totale non leggibile"))</f>
        <v>Corrisponde</v>
      </c>
      <c r="I51" s="113"/>
      <c r="J51" s="113"/>
      <c r="L51" s="110" t="s">
        <v>117</v>
      </c>
      <c r="M51" s="96">
        <f>SUM(O22:O28)</f>
        <v>9.0</v>
      </c>
      <c r="N51" s="44">
        <v>12</v>
      </c>
      <c r="O51" s="44">
        <f>IF(ISNUMBER($L$6),$L$6,"")</f>
        <v>12.0</v>
      </c>
      <c r="P51" s="111">
        <f>IF(ISNUMBER(N51),M51-N51,"")</f>
        <v>-3.0</v>
      </c>
      <c r="Q51" s="110" t="str">
        <f>IF(NOT(ISNUMBER(O51)),"Ore PEI non indicate",IF(M51&gt;O51+0.01,"Oltre il limite PEI","Entro il limite PEI"))</f>
        <v>Entro il limite PEI</v>
      </c>
    </row>
    <row r="52" spans="1:17" ht="20" customHeight="1">
      <c r="A52" s="107" t="s">
        <v>41</v>
      </c>
      <c r="B52" s="107"/>
      <c r="C52" s="107"/>
      <c r="D52" s="107"/>
      <c r="E52" s="107"/>
      <c r="F52" s="107"/>
      <c r="G52" s="107"/>
      <c r="H52" s="109">
        <f>M45</f>
        <v>48.0</v>
      </c>
      <c r="I52" s="109"/>
      <c r="J52" s="109"/>
      <c r="L52" s="110" t="s">
        <v>118</v>
      </c>
      <c r="M52" s="96">
        <f>SUM(O29:O35)</f>
        <v>12.0</v>
      </c>
      <c r="N52" s="44">
        <v>12</v>
      </c>
      <c r="O52" s="44">
        <f>IF(ISNUMBER($L$6),$L$6,"")</f>
        <v>12.0</v>
      </c>
      <c r="P52" s="111">
        <f>IF(ISNUMBER(N52),M52-N52,"")</f>
        <v>0.0</v>
      </c>
      <c r="Q52" s="110" t="str">
        <f>IF(NOT(ISNUMBER(O52)),"Ore PEI non indicate",IF(M52&gt;O52+0.01,"Oltre il limite PEI","Entro il limite PEI"))</f>
        <v>Entro il limite PEI</v>
      </c>
    </row>
    <row r="53" spans="1:17" ht="20" customHeight="1">
      <c r="A53" s="107" t="s">
        <v>64</v>
      </c>
      <c r="B53" s="107"/>
      <c r="C53" s="107"/>
      <c r="D53" s="107"/>
      <c r="E53" s="107"/>
      <c r="F53" s="107"/>
      <c r="G53" s="107"/>
      <c r="H53" s="109">
        <f>N45</f>
        <v>45.0</v>
      </c>
      <c r="I53" s="109"/>
      <c r="J53" s="109"/>
      <c r="L53" s="110" t="s">
        <v>119</v>
      </c>
      <c r="M53" s="96">
        <f>SUM(O36:O41)</f>
        <v>12.0</v>
      </c>
      <c r="N53" s="44">
        <v>12</v>
      </c>
      <c r="O53" s="44">
        <f>IF(ISNUMBER($L$6),$L$6,"")</f>
        <v>12.0</v>
      </c>
      <c r="P53" s="111">
        <f>IF(ISNUMBER(N53),M53-N53,"")</f>
        <v>0.0</v>
      </c>
      <c r="Q53" s="110" t="str">
        <f>IF(NOT(ISNUMBER(O53)),"Ore PEI non indicate",IF(M53&gt;O53+0.01,"Oltre il limite PEI","Entro il limite PEI"))</f>
        <v>Entro il limite PEI</v>
      </c>
    </row>
    <row r="54" spans="1:17" ht="22" customHeight="1">
      <c r="A54" s="107" t="s">
        <v>43</v>
      </c>
      <c r="B54" s="107"/>
      <c r="C54" s="107"/>
      <c r="D54" s="107"/>
      <c r="E54" s="107"/>
      <c r="F54" s="107"/>
      <c r="G54" s="107"/>
      <c r="H54" s="114">
        <f>O45</f>
        <v>45.0</v>
      </c>
      <c r="I54" s="114"/>
      <c r="J54" s="114"/>
      <c r="L54" s="116" t="s">
        <v>79</v>
      </c>
      <c r="M54" s="103">
        <f>SUM(M49:M53)</f>
        <v>45.0</v>
      </c>
      <c r="N54" s="103">
        <f>SUM(N49:N53)</f>
        <v>48.0</v>
      </c>
      <c r="O54" s="104"/>
      <c r="P54" s="117">
        <f>IF(ISNUMBER(N54),M54-N54,"")</f>
        <v>-3.0</v>
      </c>
      <c r="Q54" s="104"/>
    </row>
    <row r="55" spans="1:17" ht="20" customHeight="1">
      <c r="A55" s="107" t="s">
        <v>65</v>
      </c>
      <c r="B55" s="107"/>
      <c r="C55" s="107"/>
      <c r="D55" s="107"/>
      <c r="E55" s="107"/>
      <c r="F55" s="107"/>
      <c r="G55" s="107"/>
      <c r="H55" s="115">
        <f>COUNTIF(O14:O41,"&gt;0")</f>
        <v>15.0</v>
      </c>
      <c r="I55" s="115"/>
      <c r="J55" s="115"/>
      <c r="L55" s="118" t="s">
        <v>80</v>
      </c>
      <c r="M55" s="118"/>
      <c r="N55" s="118"/>
      <c r="O55" s="118"/>
      <c r="P55" s="118"/>
      <c r="Q55" s="118"/>
    </row>
    <row r="56" spans="1:17" ht="20" customHeight="1">
      <c r="A56" s="107" t="s">
        <v>66</v>
      </c>
      <c r="B56" s="107"/>
      <c r="C56" s="107"/>
      <c r="D56" s="107"/>
      <c r="E56" s="107"/>
      <c r="F56" s="107"/>
      <c r="G56" s="107"/>
      <c r="H56" s="115">
        <f>I45</f>
        <v>0.0</v>
      </c>
      <c r="I56" s="115"/>
      <c r="J56" s="115"/>
    </row>
    <row r="57" spans="1:17" ht="20" customHeight="1">
      <c r="A57" s="107" t="s">
        <v>67</v>
      </c>
      <c r="B57" s="107"/>
      <c r="C57" s="107"/>
      <c r="D57" s="107"/>
      <c r="E57" s="107"/>
      <c r="F57" s="107"/>
      <c r="G57" s="107"/>
      <c r="H57" s="115">
        <f>J45</f>
        <v>1.0</v>
      </c>
      <c r="I57" s="115"/>
      <c r="J57" s="115"/>
    </row>
    <row r="59" spans="1:17" ht="26" customHeight="1">
      <c r="A59" s="106" t="s">
        <v>120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</row>
    <row r="60" spans="1:17" ht="20" customHeight="1">
      <c r="A60" s="11" t="s">
        <v>82</v>
      </c>
      <c r="B60" s="11"/>
      <c r="C60" s="11" t="s">
        <v>29</v>
      </c>
      <c r="D60" s="11" t="s">
        <v>83</v>
      </c>
      <c r="E60" s="11"/>
      <c r="F60" s="11"/>
      <c r="G60" s="11"/>
      <c r="H60" s="11" t="s">
        <v>84</v>
      </c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8.2" customHeight="1">
      <c r="A61" s="122" t="s">
        <v>93</v>
      </c>
      <c r="B61" s="122"/>
      <c r="C61" s="37">
        <v>10</v>
      </c>
      <c r="D61" s="120" t="s">
        <v>122</v>
      </c>
      <c r="E61" s="120"/>
      <c r="F61" s="120"/>
      <c r="G61" s="120"/>
      <c r="H61" s="121" t="s">
        <v>123</v>
      </c>
      <c r="I61" s="121"/>
      <c r="J61" s="121"/>
      <c r="K61" s="121"/>
      <c r="L61" s="121"/>
      <c r="M61" s="121"/>
      <c r="N61" s="121"/>
      <c r="O61" s="121"/>
      <c r="P61" s="121"/>
      <c r="Q61" s="121"/>
    </row>
    <row r="63" spans="1:17" ht="17" customHeight="1">
      <c r="A63" s="123" t="s">
        <v>124</v>
      </c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</row>
    <row r="64" spans="1:17" ht="18" customHeight="1">
      <c r="A64" s="123" t="s">
        <v>103</v>
      </c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</row>
    <row r="65" spans="1:1" ht="18" customHeight="1">
      <c r="A65" s="124" t="s">
        <v>3</v>
      </c>
    </row>
  </sheetData>
  <mergeCells count="80">
    <mergeCell ref="A1:P1"/>
    <mergeCell ref="A2:Q2"/>
    <mergeCell ref="A5:C5"/>
    <mergeCell ref="D5:H5"/>
    <mergeCell ref="I5:K5"/>
    <mergeCell ref="L5:N5"/>
    <mergeCell ref="A6:C6"/>
    <mergeCell ref="D6:H6"/>
    <mergeCell ref="I6:K6"/>
    <mergeCell ref="L6:N6"/>
    <mergeCell ref="A7:C7"/>
    <mergeCell ref="D7:H7"/>
    <mergeCell ref="I7:K7"/>
    <mergeCell ref="L7:N7"/>
    <mergeCell ref="A8:C8"/>
    <mergeCell ref="D8:H8"/>
    <mergeCell ref="I8:K8"/>
    <mergeCell ref="L8:N8"/>
    <mergeCell ref="A9:C9"/>
    <mergeCell ref="D9:H9"/>
    <mergeCell ref="I9:K9"/>
    <mergeCell ref="L9:N9"/>
    <mergeCell ref="A10:C10"/>
    <mergeCell ref="D10:H10"/>
    <mergeCell ref="I10:K10"/>
    <mergeCell ref="L10:N10"/>
    <mergeCell ref="O5:Q5"/>
    <mergeCell ref="O6:Q7"/>
    <mergeCell ref="O8:Q8"/>
    <mergeCell ref="O9:Q9"/>
    <mergeCell ref="O10:Q10"/>
    <mergeCell ref="M11:Q11"/>
    <mergeCell ref="A12:A13"/>
    <mergeCell ref="B12:B13"/>
    <mergeCell ref="C12:C13"/>
    <mergeCell ref="H12:H13"/>
    <mergeCell ref="I12:I13"/>
    <mergeCell ref="J12:J13"/>
    <mergeCell ref="K12:K13"/>
    <mergeCell ref="L12:L13"/>
    <mergeCell ref="D12:E12"/>
    <mergeCell ref="F12:G12"/>
    <mergeCell ref="M12:M13"/>
    <mergeCell ref="N12:N13"/>
    <mergeCell ref="O12:O13"/>
    <mergeCell ref="P12:P13"/>
    <mergeCell ref="Q12:Q13"/>
    <mergeCell ref="A45:G45"/>
    <mergeCell ref="A47:J47"/>
    <mergeCell ref="L47:Q47"/>
    <mergeCell ref="A48:G48"/>
    <mergeCell ref="H48:J48"/>
    <mergeCell ref="A49:G49"/>
    <mergeCell ref="H49:J49"/>
    <mergeCell ref="A50:G50"/>
    <mergeCell ref="H50:J50"/>
    <mergeCell ref="A51:G51"/>
    <mergeCell ref="H51:J51"/>
    <mergeCell ref="A52:G52"/>
    <mergeCell ref="H52:J52"/>
    <mergeCell ref="A53:G53"/>
    <mergeCell ref="H53:J53"/>
    <mergeCell ref="A54:G54"/>
    <mergeCell ref="H54:J54"/>
    <mergeCell ref="A55:G55"/>
    <mergeCell ref="H55:J55"/>
    <mergeCell ref="A56:G56"/>
    <mergeCell ref="H56:J56"/>
    <mergeCell ref="A57:G57"/>
    <mergeCell ref="H57:J57"/>
    <mergeCell ref="L55:Q55"/>
    <mergeCell ref="A59:Q59"/>
    <mergeCell ref="A60:B60"/>
    <mergeCell ref="D60:G60"/>
    <mergeCell ref="H60:Q60"/>
    <mergeCell ref="A61:B61"/>
    <mergeCell ref="D61:G61"/>
    <mergeCell ref="H61:Q61"/>
    <mergeCell ref="A63:Q63"/>
    <mergeCell ref="A64:Q64"/>
  </mergeCells>
  <conditionalFormatting sqref="H50">
    <cfRule type="expression" dxfId="3" priority="4">
      <formula>AND(ISNUMBER(H50),ABS(H50)&gt;0.01)</formula>
    </cfRule>
  </conditionalFormatting>
  <conditionalFormatting sqref="H51">
    <cfRule type="beginsWith" dxfId="0" priority="1" operator="beginsWith" text="Corrisponde">
      <formula>LEFT(H51,11)="Corrisponde"</formula>
    </cfRule>
    <cfRule type="beginsWith" dxfId="1" priority="2" operator="beginsWith" text="Non corrisponde">
      <formula>LEFT(H51,15)="Non corrisponde"</formula>
    </cfRule>
    <cfRule type="beginsWith" dxfId="2" priority="3" operator="beginsWith" text="Totale non">
      <formula>LEFT(H51,10)="Totale non"</formula>
    </cfRule>
  </conditionalFormatting>
  <conditionalFormatting sqref="Q49:Q53">
    <cfRule type="beginsWith" dxfId="4" priority="5" operator="beginsWith" text="Oltre">
      <formula>LEFT(Q49,5)="Oltre"</formula>
    </cfRule>
    <cfRule type="beginsWith" dxfId="0" priority="6" operator="beginsWith" text="Entro">
      <formula>LEFT(Q49,5)="Entro"</formula>
    </cfRule>
    <cfRule type="beginsWith" dxfId="2" priority="7" operator="beginsWith" text="Ore PEI non">
      <formula>LEFT(Q49,11)="Ore PEI non"</formula>
    </cfRule>
  </conditionalFormatting>
  <hyperlinks>
    <hyperlink ref="Q4" location="'Riepilogo'!A1" tooltip="Torna al foglio Riepilogo" display="‹ Torna al Riepilogo"/>
    <hyperlink ref="C61" location="'ESPOSITO A. 02-2026'!A23" tooltip="Vai al giorno 10" display="10"/>
    <hyperlink ref="A65" location="'Riepilogo'!A1" display="‹ Torna al Riepilogo"/>
  </hyperlinks>
  <printOptions horizontalCentered="1"/>
  <pageMargins left="0.35" right="0.35" top="0.6" bottom="0.6" header="0.25" footer="0.25"/>
  <pageSetup paperSize="9" fitToHeight="0" orientation="landscape"/>
  <headerFooter>
    <oddHeader>&amp;L&amp;"Calibri,Regular"&amp;8&amp;K6B7280Sirio OCR · Rendicontazione Assistenza Specialistica&amp;R&amp;"Calibri,Regular"&amp;8&amp;K6B7280&amp;A</oddHeader>
    <oddFooter>&amp;L&amp;"Calibri,Regular"&amp;8&amp;K6B7280Generato il 10/10/2026 alle 17:01&amp;R&amp;"Calibri,Regular"&amp;8&amp;K6B7280Pagina &amp;P di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B91C1C"/>
    <pageSetUpPr fitToPage="1"/>
  </sheetPr>
  <dimension ref="A1:Q70"/>
  <sheetViews>
    <sheetView showGridLines="0" workbookViewId="0">
      <pane ySplit="13" topLeftCell="A14" activePane="bottomLeft" state="frozen"/>
      <selection pane="bottomLeft"/>
    </sheetView>
  </sheetViews>
  <sheetFormatPr defaultRowHeight="18" customHeight="1"/>
  <cols>
    <col min="1" max="1" width="7.7109375" customWidth="1"/>
    <col min="2" max="2" width="11.7109375" customWidth="1"/>
    <col min="3" max="3" width="6.7109375" customWidth="1"/>
    <col min="4" max="7" width="9.28515625" customWidth="1"/>
    <col min="8" max="11" width="10.28515625" customWidth="1"/>
    <col min="12" max="12" width="22.7109375" customWidth="1"/>
    <col min="13" max="14" width="10.7109375" customWidth="1"/>
    <col min="15" max="15" width="11.28515625" customWidth="1"/>
    <col min="16" max="16" width="10.28515625" customWidth="1"/>
    <col min="17" max="17" width="44.7109375" customWidth="1"/>
  </cols>
  <sheetData>
    <row r="1" spans="1:17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3" t="s">
        <v>125</v>
      </c>
    </row>
    <row r="2" spans="1:17" ht="20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8" customHeight="1">
      <c r="Q4" s="74" t="s">
        <v>3</v>
      </c>
    </row>
    <row r="5" spans="1:17" ht="21" customHeight="1">
      <c r="A5" s="75" t="s">
        <v>4</v>
      </c>
      <c r="B5" s="75"/>
      <c r="C5" s="75"/>
      <c r="D5" s="76" t="s">
        <v>5</v>
      </c>
      <c r="E5" s="76"/>
      <c r="F5" s="76"/>
      <c r="G5" s="76"/>
      <c r="H5" s="76"/>
      <c r="I5" s="75" t="s">
        <v>6</v>
      </c>
      <c r="J5" s="75"/>
      <c r="K5" s="75"/>
      <c r="L5" s="77">
        <v>46054</v>
      </c>
      <c r="M5" s="77"/>
      <c r="N5" s="77"/>
      <c r="O5" s="138" t="s">
        <v>23</v>
      </c>
      <c r="P5" s="138"/>
      <c r="Q5" s="138"/>
    </row>
    <row r="6" spans="1:17" ht="21" customHeight="1">
      <c r="A6" s="75" t="s">
        <v>7</v>
      </c>
      <c r="B6" s="75"/>
      <c r="C6" s="75"/>
      <c r="D6" s="76" t="s">
        <v>8</v>
      </c>
      <c r="E6" s="76"/>
      <c r="F6" s="76"/>
      <c r="G6" s="76"/>
      <c r="H6" s="76"/>
      <c r="I6" s="75" t="s">
        <v>9</v>
      </c>
      <c r="J6" s="75"/>
      <c r="K6" s="75"/>
      <c r="L6" s="126">
        <v>15</v>
      </c>
      <c r="M6" s="126"/>
      <c r="N6" s="126"/>
      <c r="O6" s="139" t="s">
        <v>128</v>
      </c>
      <c r="P6" s="139"/>
      <c r="Q6" s="139"/>
    </row>
    <row r="7" spans="1:17" ht="21" customHeight="1">
      <c r="A7" s="75" t="s">
        <v>10</v>
      </c>
      <c r="B7" s="75"/>
      <c r="C7" s="75"/>
      <c r="D7" s="81" t="s">
        <v>126</v>
      </c>
      <c r="E7" s="81"/>
      <c r="F7" s="81"/>
      <c r="G7" s="81"/>
      <c r="H7" s="81"/>
      <c r="I7" s="75" t="s">
        <v>12</v>
      </c>
      <c r="J7" s="75"/>
      <c r="K7" s="75"/>
      <c r="L7" s="76" t="s">
        <v>107</v>
      </c>
      <c r="M7" s="76"/>
      <c r="N7" s="76"/>
      <c r="O7" s="139"/>
      <c r="P7" s="139"/>
      <c r="Q7" s="139"/>
    </row>
    <row r="8" spans="1:17" ht="21" customHeight="1">
      <c r="A8" s="75" t="s">
        <v>14</v>
      </c>
      <c r="B8" s="75"/>
      <c r="C8" s="75"/>
      <c r="D8" s="140" t="s">
        <v>127</v>
      </c>
      <c r="E8" s="140"/>
      <c r="F8" s="140"/>
      <c r="G8" s="140"/>
      <c r="H8" s="140"/>
      <c r="I8" s="75" t="s">
        <v>16</v>
      </c>
      <c r="J8" s="75"/>
      <c r="K8" s="75"/>
      <c r="L8" s="82">
        <v>46080</v>
      </c>
      <c r="M8" s="82"/>
      <c r="N8" s="82"/>
      <c r="O8" s="141" t="s">
        <v>129</v>
      </c>
      <c r="P8" s="141"/>
      <c r="Q8" s="141"/>
    </row>
    <row r="9" spans="1:17" ht="21" customHeight="1">
      <c r="A9" s="75" t="s">
        <v>17</v>
      </c>
      <c r="B9" s="75"/>
      <c r="C9" s="75"/>
      <c r="D9" s="84">
        <v>1</v>
      </c>
      <c r="E9" s="84"/>
      <c r="F9" s="84"/>
      <c r="G9" s="84"/>
      <c r="H9" s="84"/>
      <c r="I9" s="75" t="s">
        <v>18</v>
      </c>
      <c r="J9" s="75"/>
      <c r="K9" s="75"/>
      <c r="L9" s="85" t="s">
        <v>19</v>
      </c>
      <c r="M9" s="85"/>
      <c r="N9" s="85"/>
      <c r="O9" s="141" t="s">
        <v>130</v>
      </c>
      <c r="P9" s="141"/>
      <c r="Q9" s="141"/>
    </row>
    <row r="10" spans="1:17" ht="21" customHeight="1">
      <c r="A10" s="75" t="s">
        <v>20</v>
      </c>
      <c r="B10" s="75"/>
      <c r="C10" s="75"/>
      <c r="D10" s="84">
        <v>2</v>
      </c>
      <c r="E10" s="84"/>
      <c r="F10" s="84"/>
      <c r="G10" s="84"/>
      <c r="H10" s="84"/>
      <c r="I10" s="75" t="s">
        <v>21</v>
      </c>
      <c r="J10" s="75"/>
      <c r="K10" s="75"/>
      <c r="L10" s="85" t="s">
        <v>19</v>
      </c>
      <c r="M10" s="85"/>
      <c r="N10" s="85"/>
      <c r="O10" s="142" t="s">
        <v>27</v>
      </c>
      <c r="P10" s="142"/>
      <c r="Q10" s="142"/>
    </row>
    <row r="11" spans="1:17" ht="16" customHeight="1">
      <c r="M11" s="88" t="s">
        <v>28</v>
      </c>
      <c r="N11" s="88"/>
      <c r="O11" s="88"/>
      <c r="P11" s="88"/>
      <c r="Q11" s="88"/>
    </row>
    <row r="12" spans="1:17" ht="30" customHeight="1">
      <c r="A12" s="11" t="s">
        <v>29</v>
      </c>
      <c r="B12" s="11" t="s">
        <v>30</v>
      </c>
      <c r="C12" s="11" t="s">
        <v>31</v>
      </c>
      <c r="D12" s="11" t="s">
        <v>37</v>
      </c>
      <c r="E12" s="11"/>
      <c r="F12" s="11" t="s">
        <v>38</v>
      </c>
      <c r="G12" s="11"/>
      <c r="H12" s="11" t="s">
        <v>32</v>
      </c>
      <c r="I12" s="11" t="s">
        <v>33</v>
      </c>
      <c r="J12" s="11" t="s">
        <v>34</v>
      </c>
      <c r="K12" s="11" t="s">
        <v>35</v>
      </c>
      <c r="L12" s="11" t="s">
        <v>36</v>
      </c>
      <c r="M12" s="12" t="s">
        <v>41</v>
      </c>
      <c r="N12" s="12" t="s">
        <v>42</v>
      </c>
      <c r="O12" s="12" t="s">
        <v>43</v>
      </c>
      <c r="P12" s="12" t="s">
        <v>44</v>
      </c>
      <c r="Q12" s="12" t="s">
        <v>45</v>
      </c>
    </row>
    <row r="13" spans="1:17" ht="18" customHeight="1">
      <c r="A13" s="11"/>
      <c r="B13" s="11"/>
      <c r="C13" s="11"/>
      <c r="D13" s="11" t="s">
        <v>39</v>
      </c>
      <c r="E13" s="11" t="s">
        <v>40</v>
      </c>
      <c r="F13" s="11" t="s">
        <v>39</v>
      </c>
      <c r="G13" s="11" t="s">
        <v>40</v>
      </c>
      <c r="H13" s="11"/>
      <c r="I13" s="11"/>
      <c r="J13" s="11"/>
      <c r="K13" s="11"/>
      <c r="L13" s="11"/>
      <c r="M13" s="12"/>
      <c r="N13" s="12"/>
      <c r="O13" s="12"/>
      <c r="P13" s="12"/>
      <c r="Q13" s="12"/>
    </row>
    <row r="14" spans="1:17" ht="18" customHeight="1">
      <c r="A14" s="89">
        <v>1</v>
      </c>
      <c r="B14" s="90">
        <v>46054</v>
      </c>
      <c r="C14" s="91" t="s">
        <v>46</v>
      </c>
      <c r="D14" s="57"/>
      <c r="E14" s="57"/>
      <c r="F14" s="57"/>
      <c r="G14" s="57"/>
      <c r="H14" s="89"/>
      <c r="I14" s="89"/>
      <c r="J14" s="89"/>
      <c r="K14" s="57"/>
      <c r="L14" s="92"/>
      <c r="M14" s="59">
        <f>IF(AND(ISNUMBER(D14),ISNUMBER(E14)),IF(E14&gt;D14,(E14-D14)*24,""),"")</f>
        <v/>
      </c>
      <c r="N14" s="60">
        <f>IF(AND(ISNUMBER(F14),ISNUMBER(G14)),IF(G14&gt;F14,(G14-F14)*24,""),"")</f>
        <v/>
      </c>
      <c r="O14" s="61">
        <f>IF(J14="X",0,IF(ISNUMBER(H14),H14,IF(ISNUMBER(N14),N14,"")))</f>
        <v/>
      </c>
      <c r="P14" s="62">
        <f>IF(AND(ISNUMBER(H14),ISNUMBER(N14)),H14-N14,"")</f>
        <v/>
      </c>
      <c r="Q14" s="93" t="s">
        <v>47</v>
      </c>
    </row>
    <row r="15" spans="1:17" ht="18" customHeight="1">
      <c r="A15" s="23">
        <v>2</v>
      </c>
      <c r="B15" s="94">
        <v>46055</v>
      </c>
      <c r="C15" s="95" t="s">
        <v>48</v>
      </c>
      <c r="D15" s="43">
        <v>0.3333333333333333</v>
      </c>
      <c r="E15" s="43">
        <v>0.4583333333333333</v>
      </c>
      <c r="F15" s="43">
        <v>0.3333333333333333</v>
      </c>
      <c r="G15" s="43">
        <v>0.4583333333333333</v>
      </c>
      <c r="H15" s="96">
        <v>3</v>
      </c>
      <c r="I15" s="23"/>
      <c r="J15" s="23"/>
      <c r="K15" s="24" t="s">
        <v>13</v>
      </c>
      <c r="L15" s="97"/>
      <c r="M15" s="44">
        <f>IF(AND(ISNUMBER(D15),ISNUMBER(E15)),IF(E15&gt;D15,(E15-D15)*24,""),"")</f>
        <v>3.0</v>
      </c>
      <c r="N15" s="45">
        <f>IF(AND(ISNUMBER(F15),ISNUMBER(G15)),IF(G15&gt;F15,(G15-F15)*24,""),"")</f>
        <v>3.0</v>
      </c>
      <c r="O15" s="46">
        <f>IF(J15="X",0,IF(ISNUMBER(H15),H15,IF(ISNUMBER(N15),N15,"")))</f>
        <v>3.0</v>
      </c>
      <c r="P15" s="47">
        <f>IF(AND(ISNUMBER(H15),ISNUMBER(N15)),H15-N15,"")</f>
        <v>0.0</v>
      </c>
      <c r="Q15" s="98" t="s">
        <v>49</v>
      </c>
    </row>
    <row r="16" spans="1:17" ht="18" customHeight="1">
      <c r="A16" s="23">
        <v>3</v>
      </c>
      <c r="B16" s="94">
        <v>46056</v>
      </c>
      <c r="C16" s="95" t="s">
        <v>50</v>
      </c>
      <c r="D16" s="43">
        <v>0.3333333333333333</v>
      </c>
      <c r="E16" s="43">
        <v>0.4583333333333333</v>
      </c>
      <c r="F16" s="43">
        <v>0.3333333333333333</v>
      </c>
      <c r="G16" s="43">
        <v>0.4583333333333333</v>
      </c>
      <c r="H16" s="96">
        <v>3</v>
      </c>
      <c r="I16" s="23"/>
      <c r="J16" s="23"/>
      <c r="K16" s="24" t="s">
        <v>13</v>
      </c>
      <c r="L16" s="97"/>
      <c r="M16" s="44">
        <f>IF(AND(ISNUMBER(D16),ISNUMBER(E16)),IF(E16&gt;D16,(E16-D16)*24,""),"")</f>
        <v>3.0</v>
      </c>
      <c r="N16" s="45">
        <f>IF(AND(ISNUMBER(F16),ISNUMBER(G16)),IF(G16&gt;F16,(G16-F16)*24,""),"")</f>
        <v>3.0</v>
      </c>
      <c r="O16" s="46">
        <f>IF(J16="X",0,IF(ISNUMBER(H16),H16,IF(ISNUMBER(N16),N16,"")))</f>
        <v>3.0</v>
      </c>
      <c r="P16" s="47">
        <f>IF(AND(ISNUMBER(H16),ISNUMBER(N16)),H16-N16,"")</f>
        <v>0.0</v>
      </c>
      <c r="Q16" s="98" t="s">
        <v>49</v>
      </c>
    </row>
    <row r="17" spans="1:17" ht="18" customHeight="1">
      <c r="A17" s="23">
        <v>4</v>
      </c>
      <c r="B17" s="94">
        <v>46057</v>
      </c>
      <c r="C17" s="95" t="s">
        <v>51</v>
      </c>
      <c r="D17" s="43">
        <v>0.3333333333333333</v>
      </c>
      <c r="E17" s="43">
        <v>0.4583333333333333</v>
      </c>
      <c r="F17" s="68" t="s">
        <v>131</v>
      </c>
      <c r="G17" s="68" t="s">
        <v>131</v>
      </c>
      <c r="H17" s="96">
        <v>1.5</v>
      </c>
      <c r="I17" s="23" t="s">
        <v>112</v>
      </c>
      <c r="J17" s="23"/>
      <c r="K17" s="24" t="s">
        <v>13</v>
      </c>
      <c r="L17" s="97"/>
      <c r="M17" s="44">
        <f>IF(AND(ISNUMBER(D17),ISNUMBER(E17)),IF(E17&gt;D17,(E17-D17)*24,""),"")</f>
        <v>3.0</v>
      </c>
      <c r="N17" s="45">
        <f>IF(AND(ISNUMBER(F17),ISNUMBER(G17)),IF(G17&gt;F17,(G17-F17)*24,""),"")</f>
        <v/>
      </c>
      <c r="O17" s="46">
        <f>IF(J17="X",0,IF(ISNUMBER(H17),H17,IF(ISNUMBER(N17),N17,"")))</f>
        <v>1.5</v>
      </c>
      <c r="P17" s="47">
        <f>IF(AND(ISNUMBER(H17),ISNUMBER(N17)),H17-N17,"")</f>
        <v/>
      </c>
      <c r="Q17" s="131" t="s">
        <v>33</v>
      </c>
    </row>
    <row r="18" spans="1:17" ht="18" customHeight="1">
      <c r="A18" s="23">
        <v>5</v>
      </c>
      <c r="B18" s="94">
        <v>46058</v>
      </c>
      <c r="C18" s="95" t="s">
        <v>52</v>
      </c>
      <c r="D18" s="43">
        <v>0.3333333333333333</v>
      </c>
      <c r="E18" s="43">
        <v>0.4583333333333333</v>
      </c>
      <c r="F18" s="43">
        <v>0.3333333333333333</v>
      </c>
      <c r="G18" s="43">
        <v>0.4583333333333333</v>
      </c>
      <c r="H18" s="96">
        <v>3</v>
      </c>
      <c r="I18" s="23"/>
      <c r="J18" s="23"/>
      <c r="K18" s="24" t="s">
        <v>13</v>
      </c>
      <c r="L18" s="97"/>
      <c r="M18" s="44">
        <f>IF(AND(ISNUMBER(D18),ISNUMBER(E18)),IF(E18&gt;D18,(E18-D18)*24,""),"")</f>
        <v>3.0</v>
      </c>
      <c r="N18" s="45">
        <f>IF(AND(ISNUMBER(F18),ISNUMBER(G18)),IF(G18&gt;F18,(G18-F18)*24,""),"")</f>
        <v>3.0</v>
      </c>
      <c r="O18" s="46">
        <f>IF(J18="X",0,IF(ISNUMBER(H18),H18,IF(ISNUMBER(N18),N18,"")))</f>
        <v>3.0</v>
      </c>
      <c r="P18" s="47">
        <f>IF(AND(ISNUMBER(H18),ISNUMBER(N18)),H18-N18,"")</f>
        <v>0.0</v>
      </c>
      <c r="Q18" s="98" t="s">
        <v>49</v>
      </c>
    </row>
    <row r="19" spans="1:17" ht="18" customHeight="1">
      <c r="A19" s="23">
        <v>6</v>
      </c>
      <c r="B19" s="94">
        <v>46059</v>
      </c>
      <c r="C19" s="95" t="s">
        <v>53</v>
      </c>
      <c r="D19" s="43">
        <v>0.3333333333333333</v>
      </c>
      <c r="E19" s="43">
        <v>0.4583333333333333</v>
      </c>
      <c r="F19" s="43">
        <v>0.3333333333333333</v>
      </c>
      <c r="G19" s="43">
        <v>0.4583333333333333</v>
      </c>
      <c r="H19" s="96">
        <v>3</v>
      </c>
      <c r="I19" s="23"/>
      <c r="J19" s="23"/>
      <c r="K19" s="24" t="s">
        <v>13</v>
      </c>
      <c r="L19" s="97"/>
      <c r="M19" s="44">
        <f>IF(AND(ISNUMBER(D19),ISNUMBER(E19)),IF(E19&gt;D19,(E19-D19)*24,""),"")</f>
        <v>3.0</v>
      </c>
      <c r="N19" s="45">
        <f>IF(AND(ISNUMBER(F19),ISNUMBER(G19)),IF(G19&gt;F19,(G19-F19)*24,""),"")</f>
        <v>3.0</v>
      </c>
      <c r="O19" s="46">
        <f>IF(J19="X",0,IF(ISNUMBER(H19),H19,IF(ISNUMBER(N19),N19,"")))</f>
        <v>3.0</v>
      </c>
      <c r="P19" s="47">
        <f>IF(AND(ISNUMBER(H19),ISNUMBER(N19)),H19-N19,"")</f>
        <v>0.0</v>
      </c>
      <c r="Q19" s="98" t="s">
        <v>49</v>
      </c>
    </row>
    <row r="20" spans="1:17" ht="18" customHeight="1">
      <c r="A20" s="89">
        <v>7</v>
      </c>
      <c r="B20" s="90">
        <v>46060</v>
      </c>
      <c r="C20" s="99" t="s">
        <v>54</v>
      </c>
      <c r="D20" s="57"/>
      <c r="E20" s="57"/>
      <c r="F20" s="57"/>
      <c r="G20" s="57"/>
      <c r="H20" s="89"/>
      <c r="I20" s="89"/>
      <c r="J20" s="89"/>
      <c r="K20" s="57"/>
      <c r="L20" s="92"/>
      <c r="M20" s="59">
        <f>IF(AND(ISNUMBER(D20),ISNUMBER(E20)),IF(E20&gt;D20,(E20-D20)*24,""),"")</f>
        <v/>
      </c>
      <c r="N20" s="60">
        <f>IF(AND(ISNUMBER(F20),ISNUMBER(G20)),IF(G20&gt;F20,(G20-F20)*24,""),"")</f>
        <v/>
      </c>
      <c r="O20" s="61">
        <f>IF(J20="X",0,IF(ISNUMBER(H20),H20,IF(ISNUMBER(N20),N20,"")))</f>
        <v/>
      </c>
      <c r="P20" s="62">
        <f>IF(AND(ISNUMBER(H20),ISNUMBER(N20)),H20-N20,"")</f>
        <v/>
      </c>
      <c r="Q20" s="93" t="s">
        <v>55</v>
      </c>
    </row>
    <row r="21" spans="1:17" ht="18" customHeight="1">
      <c r="A21" s="89">
        <v>8</v>
      </c>
      <c r="B21" s="90">
        <v>46061</v>
      </c>
      <c r="C21" s="91" t="s">
        <v>46</v>
      </c>
      <c r="D21" s="57"/>
      <c r="E21" s="57"/>
      <c r="F21" s="57"/>
      <c r="G21" s="57"/>
      <c r="H21" s="89"/>
      <c r="I21" s="89"/>
      <c r="J21" s="89"/>
      <c r="K21" s="57"/>
      <c r="L21" s="92"/>
      <c r="M21" s="59">
        <f>IF(AND(ISNUMBER(D21),ISNUMBER(E21)),IF(E21&gt;D21,(E21-D21)*24,""),"")</f>
        <v/>
      </c>
      <c r="N21" s="60">
        <f>IF(AND(ISNUMBER(F21),ISNUMBER(G21)),IF(G21&gt;F21,(G21-F21)*24,""),"")</f>
        <v/>
      </c>
      <c r="O21" s="61">
        <f>IF(J21="X",0,IF(ISNUMBER(H21),H21,IF(ISNUMBER(N21),N21,"")))</f>
        <v/>
      </c>
      <c r="P21" s="62">
        <f>IF(AND(ISNUMBER(H21),ISNUMBER(N21)),H21-N21,"")</f>
        <v/>
      </c>
      <c r="Q21" s="93" t="s">
        <v>47</v>
      </c>
    </row>
    <row r="22" spans="1:17" ht="18" customHeight="1">
      <c r="A22" s="23">
        <v>9</v>
      </c>
      <c r="B22" s="94">
        <v>46062</v>
      </c>
      <c r="C22" s="95" t="s">
        <v>48</v>
      </c>
      <c r="D22" s="43">
        <v>0.3333333333333333</v>
      </c>
      <c r="E22" s="43">
        <v>0.4583333333333333</v>
      </c>
      <c r="F22" s="43">
        <v>0.3333333333333333</v>
      </c>
      <c r="G22" s="43">
        <v>0.4583333333333333</v>
      </c>
      <c r="H22" s="96">
        <v>3</v>
      </c>
      <c r="I22" s="23"/>
      <c r="J22" s="23"/>
      <c r="K22" s="24" t="s">
        <v>13</v>
      </c>
      <c r="L22" s="97"/>
      <c r="M22" s="44">
        <f>IF(AND(ISNUMBER(D22),ISNUMBER(E22)),IF(E22&gt;D22,(E22-D22)*24,""),"")</f>
        <v>3.0</v>
      </c>
      <c r="N22" s="45">
        <f>IF(AND(ISNUMBER(F22),ISNUMBER(G22)),IF(G22&gt;F22,(G22-F22)*24,""),"")</f>
        <v>3.0</v>
      </c>
      <c r="O22" s="46">
        <f>IF(J22="X",0,IF(ISNUMBER(H22),H22,IF(ISNUMBER(N22),N22,"")))</f>
        <v>3.0</v>
      </c>
      <c r="P22" s="47">
        <f>IF(AND(ISNUMBER(H22),ISNUMBER(N22)),H22-N22,"")</f>
        <v>0.0</v>
      </c>
      <c r="Q22" s="98" t="s">
        <v>49</v>
      </c>
    </row>
    <row r="23" spans="1:17" ht="18" customHeight="1">
      <c r="A23" s="23">
        <v>10</v>
      </c>
      <c r="B23" s="94">
        <v>46063</v>
      </c>
      <c r="C23" s="95" t="s">
        <v>50</v>
      </c>
      <c r="D23" s="43">
        <v>0.3333333333333333</v>
      </c>
      <c r="E23" s="43">
        <v>0.4583333333333333</v>
      </c>
      <c r="F23" s="43">
        <v>0.3333333333333333</v>
      </c>
      <c r="G23" s="43">
        <v>0.4583333333333333</v>
      </c>
      <c r="H23" s="96">
        <v>3</v>
      </c>
      <c r="I23" s="23"/>
      <c r="J23" s="23"/>
      <c r="K23" s="24" t="s">
        <v>13</v>
      </c>
      <c r="L23" s="97"/>
      <c r="M23" s="44">
        <f>IF(AND(ISNUMBER(D23),ISNUMBER(E23)),IF(E23&gt;D23,(E23-D23)*24,""),"")</f>
        <v>3.0</v>
      </c>
      <c r="N23" s="45">
        <f>IF(AND(ISNUMBER(F23),ISNUMBER(G23)),IF(G23&gt;F23,(G23-F23)*24,""),"")</f>
        <v>3.0</v>
      </c>
      <c r="O23" s="46">
        <f>IF(J23="X",0,IF(ISNUMBER(H23),H23,IF(ISNUMBER(N23),N23,"")))</f>
        <v>3.0</v>
      </c>
      <c r="P23" s="47">
        <f>IF(AND(ISNUMBER(H23),ISNUMBER(N23)),H23-N23,"")</f>
        <v>0.0</v>
      </c>
      <c r="Q23" s="98" t="s">
        <v>49</v>
      </c>
    </row>
    <row r="24" spans="1:17" ht="18" customHeight="1">
      <c r="A24" s="23">
        <v>11</v>
      </c>
      <c r="B24" s="94">
        <v>46064</v>
      </c>
      <c r="C24" s="95" t="s">
        <v>51</v>
      </c>
      <c r="D24" s="43">
        <v>0.3333333333333333</v>
      </c>
      <c r="E24" s="43">
        <v>0.4583333333333333</v>
      </c>
      <c r="F24" s="43">
        <v>0.3333333333333333</v>
      </c>
      <c r="G24" s="43">
        <v>0.4583333333333333</v>
      </c>
      <c r="H24" s="96">
        <v>3</v>
      </c>
      <c r="I24" s="23"/>
      <c r="J24" s="23"/>
      <c r="K24" s="24" t="s">
        <v>13</v>
      </c>
      <c r="L24" s="97"/>
      <c r="M24" s="44">
        <f>IF(AND(ISNUMBER(D24),ISNUMBER(E24)),IF(E24&gt;D24,(E24-D24)*24,""),"")</f>
        <v>3.0</v>
      </c>
      <c r="N24" s="45">
        <f>IF(AND(ISNUMBER(F24),ISNUMBER(G24)),IF(G24&gt;F24,(G24-F24)*24,""),"")</f>
        <v>3.0</v>
      </c>
      <c r="O24" s="46">
        <f>IF(J24="X",0,IF(ISNUMBER(H24),H24,IF(ISNUMBER(N24),N24,"")))</f>
        <v>3.0</v>
      </c>
      <c r="P24" s="47">
        <f>IF(AND(ISNUMBER(H24),ISNUMBER(N24)),H24-N24,"")</f>
        <v>0.0</v>
      </c>
      <c r="Q24" s="98" t="s">
        <v>49</v>
      </c>
    </row>
    <row r="25" spans="1:17" ht="18" customHeight="1">
      <c r="A25" s="23">
        <v>12</v>
      </c>
      <c r="B25" s="94">
        <v>46065</v>
      </c>
      <c r="C25" s="95" t="s">
        <v>52</v>
      </c>
      <c r="D25" s="43">
        <v>0.3333333333333333</v>
      </c>
      <c r="E25" s="43">
        <v>0.4583333333333333</v>
      </c>
      <c r="F25" s="43">
        <v>0.3333333333333333</v>
      </c>
      <c r="G25" s="69" t="s">
        <v>132</v>
      </c>
      <c r="H25" s="96">
        <v>3</v>
      </c>
      <c r="I25" s="23"/>
      <c r="J25" s="23"/>
      <c r="K25" s="24" t="s">
        <v>13</v>
      </c>
      <c r="L25" s="97"/>
      <c r="M25" s="44">
        <f>IF(AND(ISNUMBER(D25),ISNUMBER(E25)),IF(E25&gt;D25,(E25-D25)*24,""),"")</f>
        <v>3.0</v>
      </c>
      <c r="N25" s="45">
        <f>IF(AND(ISNUMBER(F25),ISNUMBER(G25)),IF(G25&gt;F25,(G25-F25)*24,""),"")</f>
        <v/>
      </c>
      <c r="O25" s="46">
        <f>IF(J25="X",0,IF(ISNUMBER(H25),H25,IF(ISNUMBER(N25),N25,"")))</f>
        <v>3.0</v>
      </c>
      <c r="P25" s="47">
        <f>IF(AND(ISNUMBER(H25),ISNUMBER(N25)),H25-N25,"")</f>
        <v/>
      </c>
      <c r="Q25" s="143" t="s">
        <v>133</v>
      </c>
    </row>
    <row r="26" spans="1:17" ht="18" customHeight="1">
      <c r="A26" s="23">
        <v>13</v>
      </c>
      <c r="B26" s="94">
        <v>46066</v>
      </c>
      <c r="C26" s="95" t="s">
        <v>53</v>
      </c>
      <c r="D26" s="43">
        <v>0.3333333333333333</v>
      </c>
      <c r="E26" s="43">
        <v>0.4583333333333333</v>
      </c>
      <c r="F26" s="43">
        <v>0.3333333333333333</v>
      </c>
      <c r="G26" s="43">
        <v>0.4583333333333333</v>
      </c>
      <c r="H26" s="96">
        <v>3</v>
      </c>
      <c r="I26" s="23"/>
      <c r="J26" s="23"/>
      <c r="K26" s="24" t="s">
        <v>13</v>
      </c>
      <c r="L26" s="97"/>
      <c r="M26" s="44">
        <f>IF(AND(ISNUMBER(D26),ISNUMBER(E26)),IF(E26&gt;D26,(E26-D26)*24,""),"")</f>
        <v>3.0</v>
      </c>
      <c r="N26" s="45">
        <f>IF(AND(ISNUMBER(F26),ISNUMBER(G26)),IF(G26&gt;F26,(G26-F26)*24,""),"")</f>
        <v>3.0</v>
      </c>
      <c r="O26" s="46">
        <f>IF(J26="X",0,IF(ISNUMBER(H26),H26,IF(ISNUMBER(N26),N26,"")))</f>
        <v>3.0</v>
      </c>
      <c r="P26" s="47">
        <f>IF(AND(ISNUMBER(H26),ISNUMBER(N26)),H26-N26,"")</f>
        <v>0.0</v>
      </c>
      <c r="Q26" s="98" t="s">
        <v>49</v>
      </c>
    </row>
    <row r="27" spans="1:17" ht="18" customHeight="1">
      <c r="A27" s="89">
        <v>14</v>
      </c>
      <c r="B27" s="90">
        <v>46067</v>
      </c>
      <c r="C27" s="99" t="s">
        <v>54</v>
      </c>
      <c r="D27" s="57"/>
      <c r="E27" s="57"/>
      <c r="F27" s="57"/>
      <c r="G27" s="57"/>
      <c r="H27" s="89"/>
      <c r="I27" s="89"/>
      <c r="J27" s="89"/>
      <c r="K27" s="57"/>
      <c r="L27" s="92"/>
      <c r="M27" s="59">
        <f>IF(AND(ISNUMBER(D27),ISNUMBER(E27)),IF(E27&gt;D27,(E27-D27)*24,""),"")</f>
        <v/>
      </c>
      <c r="N27" s="60">
        <f>IF(AND(ISNUMBER(F27),ISNUMBER(G27)),IF(G27&gt;F27,(G27-F27)*24,""),"")</f>
        <v/>
      </c>
      <c r="O27" s="61">
        <f>IF(J27="X",0,IF(ISNUMBER(H27),H27,IF(ISNUMBER(N27),N27,"")))</f>
        <v/>
      </c>
      <c r="P27" s="62">
        <f>IF(AND(ISNUMBER(H27),ISNUMBER(N27)),H27-N27,"")</f>
        <v/>
      </c>
      <c r="Q27" s="93" t="s">
        <v>55</v>
      </c>
    </row>
    <row r="28" spans="1:17" ht="18" customHeight="1">
      <c r="A28" s="89">
        <v>15</v>
      </c>
      <c r="B28" s="90">
        <v>46068</v>
      </c>
      <c r="C28" s="91" t="s">
        <v>46</v>
      </c>
      <c r="D28" s="57"/>
      <c r="E28" s="57"/>
      <c r="F28" s="57"/>
      <c r="G28" s="57"/>
      <c r="H28" s="89"/>
      <c r="I28" s="89"/>
      <c r="J28" s="89"/>
      <c r="K28" s="57"/>
      <c r="L28" s="92"/>
      <c r="M28" s="59">
        <f>IF(AND(ISNUMBER(D28),ISNUMBER(E28)),IF(E28&gt;D28,(E28-D28)*24,""),"")</f>
        <v/>
      </c>
      <c r="N28" s="60">
        <f>IF(AND(ISNUMBER(F28),ISNUMBER(G28)),IF(G28&gt;F28,(G28-F28)*24,""),"")</f>
        <v/>
      </c>
      <c r="O28" s="61">
        <f>IF(J28="X",0,IF(ISNUMBER(H28),H28,IF(ISNUMBER(N28),N28,"")))</f>
        <v/>
      </c>
      <c r="P28" s="62">
        <f>IF(AND(ISNUMBER(H28),ISNUMBER(N28)),H28-N28,"")</f>
        <v/>
      </c>
      <c r="Q28" s="93" t="s">
        <v>47</v>
      </c>
    </row>
    <row r="29" spans="1:17" ht="18" customHeight="1">
      <c r="A29" s="23">
        <v>16</v>
      </c>
      <c r="B29" s="94">
        <v>46069</v>
      </c>
      <c r="C29" s="95" t="s">
        <v>48</v>
      </c>
      <c r="D29" s="43">
        <v>0.3333333333333333</v>
      </c>
      <c r="E29" s="43">
        <v>0.4583333333333333</v>
      </c>
      <c r="F29" s="68" t="s">
        <v>131</v>
      </c>
      <c r="G29" s="68" t="s">
        <v>131</v>
      </c>
      <c r="H29" s="23"/>
      <c r="I29" s="23"/>
      <c r="J29" s="23"/>
      <c r="K29" s="24"/>
      <c r="L29" s="97" t="s">
        <v>134</v>
      </c>
      <c r="M29" s="44">
        <f>IF(AND(ISNUMBER(D29),ISNUMBER(E29)),IF(E29&gt;D29,(E29-D29)*24,""),"")</f>
        <v>3.0</v>
      </c>
      <c r="N29" s="45">
        <f>IF(AND(ISNUMBER(F29),ISNUMBER(G29)),IF(G29&gt;F29,(G29-F29)*24,""),"")</f>
        <v/>
      </c>
      <c r="O29" s="46">
        <f>IF(J29="X",0,IF(ISNUMBER(H29),H29,IF(ISNUMBER(N29),N29,"")))</f>
        <v/>
      </c>
      <c r="P29" s="47">
        <f>IF(AND(ISNUMBER(H29),ISNUMBER(N29)),H29-N29,"")</f>
        <v/>
      </c>
      <c r="Q29" s="130" t="s">
        <v>135</v>
      </c>
    </row>
    <row r="30" spans="1:17" ht="18" customHeight="1">
      <c r="A30" s="23">
        <v>17</v>
      </c>
      <c r="B30" s="94">
        <v>46070</v>
      </c>
      <c r="C30" s="95" t="s">
        <v>50</v>
      </c>
      <c r="D30" s="43">
        <v>0.3333333333333333</v>
      </c>
      <c r="E30" s="43">
        <v>0.4583333333333333</v>
      </c>
      <c r="F30" s="68" t="s">
        <v>131</v>
      </c>
      <c r="G30" s="68" t="s">
        <v>131</v>
      </c>
      <c r="H30" s="23"/>
      <c r="I30" s="23"/>
      <c r="J30" s="23"/>
      <c r="K30" s="24"/>
      <c r="L30" s="97" t="s">
        <v>134</v>
      </c>
      <c r="M30" s="44">
        <f>IF(AND(ISNUMBER(D30),ISNUMBER(E30)),IF(E30&gt;D30,(E30-D30)*24,""),"")</f>
        <v>3.0</v>
      </c>
      <c r="N30" s="45">
        <f>IF(AND(ISNUMBER(F30),ISNUMBER(G30)),IF(G30&gt;F30,(G30-F30)*24,""),"")</f>
        <v/>
      </c>
      <c r="O30" s="46">
        <f>IF(J30="X",0,IF(ISNUMBER(H30),H30,IF(ISNUMBER(N30),N30,"")))</f>
        <v/>
      </c>
      <c r="P30" s="47">
        <f>IF(AND(ISNUMBER(H30),ISNUMBER(N30)),H30-N30,"")</f>
        <v/>
      </c>
      <c r="Q30" s="130" t="s">
        <v>135</v>
      </c>
    </row>
    <row r="31" spans="1:17" ht="18" customHeight="1">
      <c r="A31" s="23">
        <v>18</v>
      </c>
      <c r="B31" s="94">
        <v>46071</v>
      </c>
      <c r="C31" s="95" t="s">
        <v>51</v>
      </c>
      <c r="D31" s="43">
        <v>0.3333333333333333</v>
      </c>
      <c r="E31" s="43">
        <v>0.4583333333333333</v>
      </c>
      <c r="F31" s="43">
        <v>0.3333333333333333</v>
      </c>
      <c r="G31" s="43">
        <v>0.4583333333333333</v>
      </c>
      <c r="H31" s="144">
        <v>3</v>
      </c>
      <c r="I31" s="23"/>
      <c r="J31" s="23"/>
      <c r="K31" s="24" t="s">
        <v>13</v>
      </c>
      <c r="L31" s="97"/>
      <c r="M31" s="44">
        <f>IF(AND(ISNUMBER(D31),ISNUMBER(E31)),IF(E31&gt;D31,(E31-D31)*24,""),"")</f>
        <v>3.0</v>
      </c>
      <c r="N31" s="45">
        <f>IF(AND(ISNUMBER(F31),ISNUMBER(G31)),IF(G31&gt;F31,(G31-F31)*24,""),"")</f>
        <v>3.0</v>
      </c>
      <c r="O31" s="46">
        <f>IF(J31="X",0,IF(ISNUMBER(H31),H31,IF(ISNUMBER(N31),N31,"")))</f>
        <v>3.0</v>
      </c>
      <c r="P31" s="47">
        <f>IF(AND(ISNUMBER(H31),ISNUMBER(N31)),H31-N31,"")</f>
        <v>0.0</v>
      </c>
      <c r="Q31" s="145" t="s">
        <v>136</v>
      </c>
    </row>
    <row r="32" spans="1:17" ht="18" customHeight="1">
      <c r="A32" s="23">
        <v>19</v>
      </c>
      <c r="B32" s="94">
        <v>46072</v>
      </c>
      <c r="C32" s="95" t="s">
        <v>52</v>
      </c>
      <c r="D32" s="43">
        <v>0.3333333333333333</v>
      </c>
      <c r="E32" s="43">
        <v>0.4583333333333333</v>
      </c>
      <c r="F32" s="43">
        <v>0.3333333333333333</v>
      </c>
      <c r="G32" s="43">
        <v>0.4583333333333333</v>
      </c>
      <c r="H32" s="96">
        <v>3</v>
      </c>
      <c r="I32" s="23"/>
      <c r="J32" s="23"/>
      <c r="K32" s="24" t="s">
        <v>13</v>
      </c>
      <c r="L32" s="97"/>
      <c r="M32" s="44">
        <f>IF(AND(ISNUMBER(D32),ISNUMBER(E32)),IF(E32&gt;D32,(E32-D32)*24,""),"")</f>
        <v>3.0</v>
      </c>
      <c r="N32" s="45">
        <f>IF(AND(ISNUMBER(F32),ISNUMBER(G32)),IF(G32&gt;F32,(G32-F32)*24,""),"")</f>
        <v>3.0</v>
      </c>
      <c r="O32" s="46">
        <f>IF(J32="X",0,IF(ISNUMBER(H32),H32,IF(ISNUMBER(N32),N32,"")))</f>
        <v>3.0</v>
      </c>
      <c r="P32" s="47">
        <f>IF(AND(ISNUMBER(H32),ISNUMBER(N32)),H32-N32,"")</f>
        <v>0.0</v>
      </c>
      <c r="Q32" s="98" t="s">
        <v>49</v>
      </c>
    </row>
    <row r="33" spans="1:17" ht="18" customHeight="1">
      <c r="A33" s="23">
        <v>20</v>
      </c>
      <c r="B33" s="94">
        <v>46073</v>
      </c>
      <c r="C33" s="95" t="s">
        <v>53</v>
      </c>
      <c r="D33" s="43">
        <v>0.3333333333333333</v>
      </c>
      <c r="E33" s="43">
        <v>0.4583333333333333</v>
      </c>
      <c r="F33" s="43">
        <v>0.3333333333333333</v>
      </c>
      <c r="G33" s="43">
        <v>0.4583333333333333</v>
      </c>
      <c r="H33" s="96">
        <v>3</v>
      </c>
      <c r="I33" s="23"/>
      <c r="J33" s="23"/>
      <c r="K33" s="24" t="s">
        <v>13</v>
      </c>
      <c r="L33" s="97"/>
      <c r="M33" s="44">
        <f>IF(AND(ISNUMBER(D33),ISNUMBER(E33)),IF(E33&gt;D33,(E33-D33)*24,""),"")</f>
        <v>3.0</v>
      </c>
      <c r="N33" s="45">
        <f>IF(AND(ISNUMBER(F33),ISNUMBER(G33)),IF(G33&gt;F33,(G33-F33)*24,""),"")</f>
        <v>3.0</v>
      </c>
      <c r="O33" s="46">
        <f>IF(J33="X",0,IF(ISNUMBER(H33),H33,IF(ISNUMBER(N33),N33,"")))</f>
        <v>3.0</v>
      </c>
      <c r="P33" s="47">
        <f>IF(AND(ISNUMBER(H33),ISNUMBER(N33)),H33-N33,"")</f>
        <v>0.0</v>
      </c>
      <c r="Q33" s="98" t="s">
        <v>49</v>
      </c>
    </row>
    <row r="34" spans="1:17" ht="18" customHeight="1">
      <c r="A34" s="89">
        <v>21</v>
      </c>
      <c r="B34" s="90">
        <v>46074</v>
      </c>
      <c r="C34" s="99" t="s">
        <v>54</v>
      </c>
      <c r="D34" s="57"/>
      <c r="E34" s="57"/>
      <c r="F34" s="57"/>
      <c r="G34" s="57"/>
      <c r="H34" s="89"/>
      <c r="I34" s="89"/>
      <c r="J34" s="89"/>
      <c r="K34" s="57"/>
      <c r="L34" s="92"/>
      <c r="M34" s="59">
        <f>IF(AND(ISNUMBER(D34),ISNUMBER(E34)),IF(E34&gt;D34,(E34-D34)*24,""),"")</f>
        <v/>
      </c>
      <c r="N34" s="60">
        <f>IF(AND(ISNUMBER(F34),ISNUMBER(G34)),IF(G34&gt;F34,(G34-F34)*24,""),"")</f>
        <v/>
      </c>
      <c r="O34" s="61">
        <f>IF(J34="X",0,IF(ISNUMBER(H34),H34,IF(ISNUMBER(N34),N34,"")))</f>
        <v/>
      </c>
      <c r="P34" s="62">
        <f>IF(AND(ISNUMBER(H34),ISNUMBER(N34)),H34-N34,"")</f>
        <v/>
      </c>
      <c r="Q34" s="93" t="s">
        <v>55</v>
      </c>
    </row>
    <row r="35" spans="1:17" ht="18" customHeight="1">
      <c r="A35" s="89">
        <v>22</v>
      </c>
      <c r="B35" s="90">
        <v>46075</v>
      </c>
      <c r="C35" s="91" t="s">
        <v>46</v>
      </c>
      <c r="D35" s="57"/>
      <c r="E35" s="57"/>
      <c r="F35" s="57"/>
      <c r="G35" s="57"/>
      <c r="H35" s="89"/>
      <c r="I35" s="89"/>
      <c r="J35" s="89"/>
      <c r="K35" s="57"/>
      <c r="L35" s="92"/>
      <c r="M35" s="59">
        <f>IF(AND(ISNUMBER(D35),ISNUMBER(E35)),IF(E35&gt;D35,(E35-D35)*24,""),"")</f>
        <v/>
      </c>
      <c r="N35" s="60">
        <f>IF(AND(ISNUMBER(F35),ISNUMBER(G35)),IF(G35&gt;F35,(G35-F35)*24,""),"")</f>
        <v/>
      </c>
      <c r="O35" s="61">
        <f>IF(J35="X",0,IF(ISNUMBER(H35),H35,IF(ISNUMBER(N35),N35,"")))</f>
        <v/>
      </c>
      <c r="P35" s="62">
        <f>IF(AND(ISNUMBER(H35),ISNUMBER(N35)),H35-N35,"")</f>
        <v/>
      </c>
      <c r="Q35" s="93" t="s">
        <v>47</v>
      </c>
    </row>
    <row r="36" spans="1:17" ht="18" customHeight="1">
      <c r="A36" s="23">
        <v>23</v>
      </c>
      <c r="B36" s="94">
        <v>46076</v>
      </c>
      <c r="C36" s="95" t="s">
        <v>48</v>
      </c>
      <c r="D36" s="43">
        <v>0.3333333333333333</v>
      </c>
      <c r="E36" s="43">
        <v>0.4583333333333333</v>
      </c>
      <c r="F36" s="43">
        <v>0.3333333333333333</v>
      </c>
      <c r="G36" s="43">
        <v>0.4583333333333333</v>
      </c>
      <c r="H36" s="96">
        <v>3</v>
      </c>
      <c r="I36" s="23"/>
      <c r="J36" s="23"/>
      <c r="K36" s="24" t="s">
        <v>13</v>
      </c>
      <c r="L36" s="97"/>
      <c r="M36" s="44">
        <f>IF(AND(ISNUMBER(D36),ISNUMBER(E36)),IF(E36&gt;D36,(E36-D36)*24,""),"")</f>
        <v>3.0</v>
      </c>
      <c r="N36" s="45">
        <f>IF(AND(ISNUMBER(F36),ISNUMBER(G36)),IF(G36&gt;F36,(G36-F36)*24,""),"")</f>
        <v>3.0</v>
      </c>
      <c r="O36" s="46">
        <f>IF(J36="X",0,IF(ISNUMBER(H36),H36,IF(ISNUMBER(N36),N36,"")))</f>
        <v>3.0</v>
      </c>
      <c r="P36" s="47">
        <f>IF(AND(ISNUMBER(H36),ISNUMBER(N36)),H36-N36,"")</f>
        <v>0.0</v>
      </c>
      <c r="Q36" s="98" t="s">
        <v>49</v>
      </c>
    </row>
    <row r="37" spans="1:17" ht="18" customHeight="1">
      <c r="A37" s="23">
        <v>24</v>
      </c>
      <c r="B37" s="94">
        <v>46077</v>
      </c>
      <c r="C37" s="95" t="s">
        <v>50</v>
      </c>
      <c r="D37" s="43">
        <v>0.3333333333333333</v>
      </c>
      <c r="E37" s="43">
        <v>0.4583333333333333</v>
      </c>
      <c r="F37" s="43">
        <v>0.3333333333333333</v>
      </c>
      <c r="G37" s="43">
        <v>0.4583333333333333</v>
      </c>
      <c r="H37" s="96">
        <v>3</v>
      </c>
      <c r="I37" s="23"/>
      <c r="J37" s="23"/>
      <c r="K37" s="24" t="s">
        <v>13</v>
      </c>
      <c r="L37" s="97"/>
      <c r="M37" s="44">
        <f>IF(AND(ISNUMBER(D37),ISNUMBER(E37)),IF(E37&gt;D37,(E37-D37)*24,""),"")</f>
        <v>3.0</v>
      </c>
      <c r="N37" s="45">
        <f>IF(AND(ISNUMBER(F37),ISNUMBER(G37)),IF(G37&gt;F37,(G37-F37)*24,""),"")</f>
        <v>3.0</v>
      </c>
      <c r="O37" s="46">
        <f>IF(J37="X",0,IF(ISNUMBER(H37),H37,IF(ISNUMBER(N37),N37,"")))</f>
        <v>3.0</v>
      </c>
      <c r="P37" s="47">
        <f>IF(AND(ISNUMBER(H37),ISNUMBER(N37)),H37-N37,"")</f>
        <v>0.0</v>
      </c>
      <c r="Q37" s="98" t="s">
        <v>49</v>
      </c>
    </row>
    <row r="38" spans="1:17" ht="18" customHeight="1">
      <c r="A38" s="23">
        <v>25</v>
      </c>
      <c r="B38" s="94">
        <v>46078</v>
      </c>
      <c r="C38" s="95" t="s">
        <v>51</v>
      </c>
      <c r="D38" s="43">
        <v>0.3333333333333333</v>
      </c>
      <c r="E38" s="43">
        <v>0.4583333333333333</v>
      </c>
      <c r="F38" s="43">
        <v>0.3333333333333333</v>
      </c>
      <c r="G38" s="43">
        <v>0.4583333333333333</v>
      </c>
      <c r="H38" s="96">
        <v>3</v>
      </c>
      <c r="I38" s="23"/>
      <c r="J38" s="23"/>
      <c r="K38" s="24" t="s">
        <v>13</v>
      </c>
      <c r="L38" s="97"/>
      <c r="M38" s="44">
        <f>IF(AND(ISNUMBER(D38),ISNUMBER(E38)),IF(E38&gt;D38,(E38-D38)*24,""),"")</f>
        <v>3.0</v>
      </c>
      <c r="N38" s="45">
        <f>IF(AND(ISNUMBER(F38),ISNUMBER(G38)),IF(G38&gt;F38,(G38-F38)*24,""),"")</f>
        <v>3.0</v>
      </c>
      <c r="O38" s="46">
        <f>IF(J38="X",0,IF(ISNUMBER(H38),H38,IF(ISNUMBER(N38),N38,"")))</f>
        <v>3.0</v>
      </c>
      <c r="P38" s="47">
        <f>IF(AND(ISNUMBER(H38),ISNUMBER(N38)),H38-N38,"")</f>
        <v>0.0</v>
      </c>
      <c r="Q38" s="98" t="s">
        <v>49</v>
      </c>
    </row>
    <row r="39" spans="1:17" ht="18" customHeight="1">
      <c r="A39" s="23">
        <v>26</v>
      </c>
      <c r="B39" s="94">
        <v>46079</v>
      </c>
      <c r="C39" s="95" t="s">
        <v>52</v>
      </c>
      <c r="D39" s="43">
        <v>0.3333333333333333</v>
      </c>
      <c r="E39" s="43">
        <v>0.4583333333333333</v>
      </c>
      <c r="F39" s="43">
        <v>0.3333333333333333</v>
      </c>
      <c r="G39" s="43">
        <v>0.4583333333333333</v>
      </c>
      <c r="H39" s="96">
        <v>3</v>
      </c>
      <c r="I39" s="23"/>
      <c r="J39" s="23"/>
      <c r="K39" s="24" t="s">
        <v>13</v>
      </c>
      <c r="L39" s="97"/>
      <c r="M39" s="44">
        <f>IF(AND(ISNUMBER(D39),ISNUMBER(E39)),IF(E39&gt;D39,(E39-D39)*24,""),"")</f>
        <v>3.0</v>
      </c>
      <c r="N39" s="45">
        <f>IF(AND(ISNUMBER(F39),ISNUMBER(G39)),IF(G39&gt;F39,(G39-F39)*24,""),"")</f>
        <v>3.0</v>
      </c>
      <c r="O39" s="46">
        <f>IF(J39="X",0,IF(ISNUMBER(H39),H39,IF(ISNUMBER(N39),N39,"")))</f>
        <v>3.0</v>
      </c>
      <c r="P39" s="47">
        <f>IF(AND(ISNUMBER(H39),ISNUMBER(N39)),H39-N39,"")</f>
        <v>0.0</v>
      </c>
      <c r="Q39" s="98" t="s">
        <v>49</v>
      </c>
    </row>
    <row r="40" spans="1:17" ht="18" customHeight="1">
      <c r="A40" s="23">
        <v>27</v>
      </c>
      <c r="B40" s="94">
        <v>46080</v>
      </c>
      <c r="C40" s="95" t="s">
        <v>53</v>
      </c>
      <c r="D40" s="43">
        <v>0.3333333333333333</v>
      </c>
      <c r="E40" s="43">
        <v>0.4583333333333333</v>
      </c>
      <c r="F40" s="43">
        <v>0.3333333333333333</v>
      </c>
      <c r="G40" s="43">
        <v>0.4583333333333333</v>
      </c>
      <c r="H40" s="96">
        <v>3</v>
      </c>
      <c r="I40" s="23"/>
      <c r="J40" s="23"/>
      <c r="K40" s="24" t="s">
        <v>13</v>
      </c>
      <c r="L40" s="97"/>
      <c r="M40" s="44">
        <f>IF(AND(ISNUMBER(D40),ISNUMBER(E40)),IF(E40&gt;D40,(E40-D40)*24,""),"")</f>
        <v>3.0</v>
      </c>
      <c r="N40" s="45">
        <f>IF(AND(ISNUMBER(F40),ISNUMBER(G40)),IF(G40&gt;F40,(G40-F40)*24,""),"")</f>
        <v>3.0</v>
      </c>
      <c r="O40" s="46">
        <f>IF(J40="X",0,IF(ISNUMBER(H40),H40,IF(ISNUMBER(N40),N40,"")))</f>
        <v>3.0</v>
      </c>
      <c r="P40" s="47">
        <f>IF(AND(ISNUMBER(H40),ISNUMBER(N40)),H40-N40,"")</f>
        <v>0.0</v>
      </c>
      <c r="Q40" s="98" t="s">
        <v>49</v>
      </c>
    </row>
    <row r="41" spans="1:17" ht="18" customHeight="1">
      <c r="A41" s="89">
        <v>28</v>
      </c>
      <c r="B41" s="90">
        <v>46081</v>
      </c>
      <c r="C41" s="99" t="s">
        <v>54</v>
      </c>
      <c r="D41" s="57"/>
      <c r="E41" s="57"/>
      <c r="F41" s="57"/>
      <c r="G41" s="57"/>
      <c r="H41" s="89"/>
      <c r="I41" s="89"/>
      <c r="J41" s="89"/>
      <c r="K41" s="57"/>
      <c r="L41" s="92"/>
      <c r="M41" s="59">
        <f>IF(AND(ISNUMBER(D41),ISNUMBER(E41)),IF(E41&gt;D41,(E41-D41)*24,""),"")</f>
        <v/>
      </c>
      <c r="N41" s="60">
        <f>IF(AND(ISNUMBER(F41),ISNUMBER(G41)),IF(G41&gt;F41,(G41-F41)*24,""),"")</f>
        <v/>
      </c>
      <c r="O41" s="61">
        <f>IF(J41="X",0,IF(ISNUMBER(H41),H41,IF(ISNUMBER(N41),N41,"")))</f>
        <v/>
      </c>
      <c r="P41" s="62">
        <f>IF(AND(ISNUMBER(H41),ISNUMBER(N41)),H41-N41,"")</f>
        <v/>
      </c>
      <c r="Q41" s="93" t="s">
        <v>55</v>
      </c>
    </row>
    <row r="42" spans="1:17" ht="18" customHeight="1">
      <c r="A42" s="132">
        <v>29</v>
      </c>
      <c r="B42" s="133"/>
      <c r="C42" s="134"/>
      <c r="D42" s="135"/>
      <c r="E42" s="135"/>
      <c r="F42" s="135"/>
      <c r="G42" s="135"/>
      <c r="H42" s="132"/>
      <c r="I42" s="132"/>
      <c r="J42" s="132"/>
      <c r="K42" s="135"/>
      <c r="L42" s="136"/>
      <c r="M42" s="135"/>
      <c r="N42" s="135"/>
      <c r="O42" s="135"/>
      <c r="P42" s="135"/>
      <c r="Q42" s="137" t="s">
        <v>114</v>
      </c>
    </row>
    <row r="43" spans="1:17" ht="18" customHeight="1">
      <c r="A43" s="132">
        <v>30</v>
      </c>
      <c r="B43" s="133"/>
      <c r="C43" s="134"/>
      <c r="D43" s="135"/>
      <c r="E43" s="135"/>
      <c r="F43" s="135"/>
      <c r="G43" s="135"/>
      <c r="H43" s="132"/>
      <c r="I43" s="132"/>
      <c r="J43" s="132"/>
      <c r="K43" s="135"/>
      <c r="L43" s="136"/>
      <c r="M43" s="135"/>
      <c r="N43" s="135"/>
      <c r="O43" s="135"/>
      <c r="P43" s="135"/>
      <c r="Q43" s="137" t="s">
        <v>114</v>
      </c>
    </row>
    <row r="44" spans="1:17" ht="18" customHeight="1">
      <c r="A44" s="132">
        <v>31</v>
      </c>
      <c r="B44" s="133"/>
      <c r="C44" s="134"/>
      <c r="D44" s="135"/>
      <c r="E44" s="135"/>
      <c r="F44" s="135"/>
      <c r="G44" s="135"/>
      <c r="H44" s="132"/>
      <c r="I44" s="132"/>
      <c r="J44" s="132"/>
      <c r="K44" s="135"/>
      <c r="L44" s="136"/>
      <c r="M44" s="135"/>
      <c r="N44" s="135"/>
      <c r="O44" s="135"/>
      <c r="P44" s="135"/>
      <c r="Q44" s="137" t="s">
        <v>114</v>
      </c>
    </row>
    <row r="45" spans="1:17" ht="24" customHeight="1">
      <c r="A45" s="102" t="s">
        <v>57</v>
      </c>
      <c r="B45" s="102"/>
      <c r="C45" s="102"/>
      <c r="D45" s="102"/>
      <c r="E45" s="102"/>
      <c r="F45" s="102"/>
      <c r="G45" s="102"/>
      <c r="H45" s="103">
        <f>SUM(H14:H41)</f>
        <v>52.5</v>
      </c>
      <c r="I45" s="31">
        <f>COUNTIF(I14:I41,"X")</f>
        <v>1.0</v>
      </c>
      <c r="J45" s="31">
        <f>COUNTIF(J14:J41,"X")</f>
        <v>0.0</v>
      </c>
      <c r="K45" s="31">
        <f>COUNTIF(K14:K41,"Sì")</f>
        <v>18.0</v>
      </c>
      <c r="L45" s="104"/>
      <c r="M45" s="103">
        <f>SUM(M14:M41)</f>
        <v>60.0</v>
      </c>
      <c r="N45" s="103">
        <f>SUM(N14:N41)</f>
        <v>48.0</v>
      </c>
      <c r="O45" s="105">
        <f>SUM(O14:O41)</f>
        <v>52.5</v>
      </c>
      <c r="P45" s="104"/>
      <c r="Q45" s="104"/>
    </row>
    <row r="47" spans="1:17" ht="26" customHeight="1">
      <c r="A47" s="106" t="s">
        <v>58</v>
      </c>
      <c r="B47" s="106"/>
      <c r="C47" s="106"/>
      <c r="D47" s="106"/>
      <c r="E47" s="106"/>
      <c r="F47" s="106"/>
      <c r="G47" s="106"/>
      <c r="H47" s="106"/>
      <c r="I47" s="106"/>
      <c r="J47" s="106"/>
      <c r="L47" s="106" t="s">
        <v>59</v>
      </c>
      <c r="M47" s="106"/>
      <c r="N47" s="106"/>
      <c r="O47" s="106"/>
      <c r="P47" s="106"/>
      <c r="Q47" s="106"/>
    </row>
    <row r="48" spans="1:17" ht="30" customHeight="1">
      <c r="A48" s="107" t="s">
        <v>60</v>
      </c>
      <c r="B48" s="107"/>
      <c r="C48" s="107"/>
      <c r="D48" s="107"/>
      <c r="E48" s="107"/>
      <c r="F48" s="107"/>
      <c r="G48" s="107"/>
      <c r="H48" s="108">
        <v>52.5</v>
      </c>
      <c r="I48" s="108"/>
      <c r="J48" s="108"/>
      <c r="L48" s="11" t="s">
        <v>68</v>
      </c>
      <c r="M48" s="11" t="s">
        <v>43</v>
      </c>
      <c r="N48" s="11" t="s">
        <v>69</v>
      </c>
      <c r="O48" s="11" t="s">
        <v>70</v>
      </c>
      <c r="P48" s="11" t="s">
        <v>71</v>
      </c>
      <c r="Q48" s="11" t="s">
        <v>72</v>
      </c>
    </row>
    <row r="49" spans="1:17" ht="20" customHeight="1">
      <c r="A49" s="107" t="s">
        <v>61</v>
      </c>
      <c r="B49" s="107"/>
      <c r="C49" s="107"/>
      <c r="D49" s="107"/>
      <c r="E49" s="107"/>
      <c r="F49" s="107"/>
      <c r="G49" s="107"/>
      <c r="H49" s="109">
        <f>H45</f>
        <v>52.5</v>
      </c>
      <c r="I49" s="109"/>
      <c r="J49" s="109"/>
      <c r="L49" s="110" t="s">
        <v>115</v>
      </c>
      <c r="M49" s="96">
        <f>SUM(O14:O14)</f>
        <v>0.0</v>
      </c>
      <c r="N49" s="44">
        <v>0</v>
      </c>
      <c r="O49" s="44">
        <f>IF(ISNUMBER($L$6),$L$6,"")</f>
        <v>15.0</v>
      </c>
      <c r="P49" s="111">
        <f>IF(ISNUMBER(N49),M49-N49,"")</f>
        <v>0.0</v>
      </c>
      <c r="Q49" s="110" t="str">
        <f>IF(NOT(ISNUMBER(O49)),"Ore PEI non indicate",IF(M49&gt;O49+0.01,"Oltre il limite PEI","Entro il limite PEI"))</f>
        <v>Entro il limite PEI</v>
      </c>
    </row>
    <row r="50" spans="1:17" ht="20" customHeight="1">
      <c r="A50" s="107" t="s">
        <v>62</v>
      </c>
      <c r="B50" s="107"/>
      <c r="C50" s="107"/>
      <c r="D50" s="107"/>
      <c r="E50" s="107"/>
      <c r="F50" s="107"/>
      <c r="G50" s="107"/>
      <c r="H50" s="112">
        <f>IF(ISNUMBER(H48),H49-H48,"")</f>
        <v>0.0</v>
      </c>
      <c r="I50" s="112"/>
      <c r="J50" s="112"/>
      <c r="L50" s="110" t="s">
        <v>116</v>
      </c>
      <c r="M50" s="96">
        <f>SUM(O15:O21)</f>
        <v>13.5</v>
      </c>
      <c r="N50" s="44">
        <v>15</v>
      </c>
      <c r="O50" s="44">
        <f>IF(ISNUMBER($L$6),$L$6,"")</f>
        <v>15.0</v>
      </c>
      <c r="P50" s="111">
        <f>IF(ISNUMBER(N50),M50-N50,"")</f>
        <v>-1.5</v>
      </c>
      <c r="Q50" s="110" t="str">
        <f>IF(NOT(ISNUMBER(O50)),"Ore PEI non indicate",IF(M50&gt;O50+0.01,"Oltre il limite PEI","Entro il limite PEI"))</f>
        <v>Entro il limite PEI</v>
      </c>
    </row>
    <row r="51" spans="1:17" ht="20" customHeight="1">
      <c r="A51" s="107" t="s">
        <v>63</v>
      </c>
      <c r="B51" s="107"/>
      <c r="C51" s="107"/>
      <c r="D51" s="107"/>
      <c r="E51" s="107"/>
      <c r="F51" s="107"/>
      <c r="G51" s="107"/>
      <c r="H51" s="113" t="str">
        <f>IF(ISNUMBER(H48),IF(ABS(H50)&lt;=0.01,"Corrisponde","Non corrisponde"),IF(ISBLANK(H48),"Totale non indicato","Totale non leggibile"))</f>
        <v>Corrisponde</v>
      </c>
      <c r="I51" s="113"/>
      <c r="J51" s="113"/>
      <c r="L51" s="110" t="s">
        <v>117</v>
      </c>
      <c r="M51" s="96">
        <f>SUM(O22:O28)</f>
        <v>15.0</v>
      </c>
      <c r="N51" s="44">
        <v>15</v>
      </c>
      <c r="O51" s="44">
        <f>IF(ISNUMBER($L$6),$L$6,"")</f>
        <v>15.0</v>
      </c>
      <c r="P51" s="111">
        <f>IF(ISNUMBER(N51),M51-N51,"")</f>
        <v>0.0</v>
      </c>
      <c r="Q51" s="110" t="str">
        <f>IF(NOT(ISNUMBER(O51)),"Ore PEI non indicate",IF(M51&gt;O51+0.01,"Oltre il limite PEI","Entro il limite PEI"))</f>
        <v>Entro il limite PEI</v>
      </c>
    </row>
    <row r="52" spans="1:17" ht="20" customHeight="1">
      <c r="A52" s="107" t="s">
        <v>41</v>
      </c>
      <c r="B52" s="107"/>
      <c r="C52" s="107"/>
      <c r="D52" s="107"/>
      <c r="E52" s="107"/>
      <c r="F52" s="107"/>
      <c r="G52" s="107"/>
      <c r="H52" s="109">
        <f>M45</f>
        <v>60.0</v>
      </c>
      <c r="I52" s="109"/>
      <c r="J52" s="109"/>
      <c r="L52" s="110" t="s">
        <v>118</v>
      </c>
      <c r="M52" s="96">
        <f>SUM(O29:O35)</f>
        <v>9.0</v>
      </c>
      <c r="N52" s="44">
        <v>15</v>
      </c>
      <c r="O52" s="44">
        <f>IF(ISNUMBER($L$6),$L$6,"")</f>
        <v>15.0</v>
      </c>
      <c r="P52" s="111">
        <f>IF(ISNUMBER(N52),M52-N52,"")</f>
        <v>-6.0</v>
      </c>
      <c r="Q52" s="110" t="str">
        <f>IF(NOT(ISNUMBER(O52)),"Ore PEI non indicate",IF(M52&gt;O52+0.01,"Oltre il limite PEI","Entro il limite PEI"))</f>
        <v>Entro il limite PEI</v>
      </c>
    </row>
    <row r="53" spans="1:17" ht="20" customHeight="1">
      <c r="A53" s="107" t="s">
        <v>64</v>
      </c>
      <c r="B53" s="107"/>
      <c r="C53" s="107"/>
      <c r="D53" s="107"/>
      <c r="E53" s="107"/>
      <c r="F53" s="107"/>
      <c r="G53" s="107"/>
      <c r="H53" s="109">
        <f>N45</f>
        <v>48.0</v>
      </c>
      <c r="I53" s="109"/>
      <c r="J53" s="109"/>
      <c r="L53" s="110" t="s">
        <v>119</v>
      </c>
      <c r="M53" s="96">
        <f>SUM(O36:O41)</f>
        <v>15.0</v>
      </c>
      <c r="N53" s="44">
        <v>15</v>
      </c>
      <c r="O53" s="44">
        <f>IF(ISNUMBER($L$6),$L$6,"")</f>
        <v>15.0</v>
      </c>
      <c r="P53" s="111">
        <f>IF(ISNUMBER(N53),M53-N53,"")</f>
        <v>0.0</v>
      </c>
      <c r="Q53" s="110" t="str">
        <f>IF(NOT(ISNUMBER(O53)),"Ore PEI non indicate",IF(M53&gt;O53+0.01,"Oltre il limite PEI","Entro il limite PEI"))</f>
        <v>Entro il limite PEI</v>
      </c>
    </row>
    <row r="54" spans="1:17" ht="22" customHeight="1">
      <c r="A54" s="107" t="s">
        <v>43</v>
      </c>
      <c r="B54" s="107"/>
      <c r="C54" s="107"/>
      <c r="D54" s="107"/>
      <c r="E54" s="107"/>
      <c r="F54" s="107"/>
      <c r="G54" s="107"/>
      <c r="H54" s="114">
        <f>O45</f>
        <v>52.5</v>
      </c>
      <c r="I54" s="114"/>
      <c r="J54" s="114"/>
      <c r="L54" s="116" t="s">
        <v>79</v>
      </c>
      <c r="M54" s="103">
        <f>SUM(M49:M53)</f>
        <v>52.5</v>
      </c>
      <c r="N54" s="103">
        <f>SUM(N49:N53)</f>
        <v>60.0</v>
      </c>
      <c r="O54" s="104"/>
      <c r="P54" s="117">
        <f>IF(ISNUMBER(N54),M54-N54,"")</f>
        <v>-7.5</v>
      </c>
      <c r="Q54" s="104"/>
    </row>
    <row r="55" spans="1:17" ht="20" customHeight="1">
      <c r="A55" s="107" t="s">
        <v>65</v>
      </c>
      <c r="B55" s="107"/>
      <c r="C55" s="107"/>
      <c r="D55" s="107"/>
      <c r="E55" s="107"/>
      <c r="F55" s="107"/>
      <c r="G55" s="107"/>
      <c r="H55" s="115">
        <f>COUNTIF(O14:O41,"&gt;0")</f>
        <v>18.0</v>
      </c>
      <c r="I55" s="115"/>
      <c r="J55" s="115"/>
      <c r="L55" s="118" t="s">
        <v>80</v>
      </c>
      <c r="M55" s="118"/>
      <c r="N55" s="118"/>
      <c r="O55" s="118"/>
      <c r="P55" s="118"/>
      <c r="Q55" s="118"/>
    </row>
    <row r="56" spans="1:17" ht="20" customHeight="1">
      <c r="A56" s="107" t="s">
        <v>66</v>
      </c>
      <c r="B56" s="107"/>
      <c r="C56" s="107"/>
      <c r="D56" s="107"/>
      <c r="E56" s="107"/>
      <c r="F56" s="107"/>
      <c r="G56" s="107"/>
      <c r="H56" s="115">
        <f>I45</f>
        <v>1.0</v>
      </c>
      <c r="I56" s="115"/>
      <c r="J56" s="115"/>
    </row>
    <row r="57" spans="1:17" ht="20" customHeight="1">
      <c r="A57" s="107" t="s">
        <v>67</v>
      </c>
      <c r="B57" s="107"/>
      <c r="C57" s="107"/>
      <c r="D57" s="107"/>
      <c r="E57" s="107"/>
      <c r="F57" s="107"/>
      <c r="G57" s="107"/>
      <c r="H57" s="115">
        <f>J45</f>
        <v>0.0</v>
      </c>
      <c r="I57" s="115"/>
      <c r="J57" s="115"/>
    </row>
    <row r="59" spans="1:17" ht="26" customHeight="1">
      <c r="A59" s="106" t="s">
        <v>137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</row>
    <row r="60" spans="1:17" ht="20" customHeight="1">
      <c r="A60" s="11" t="s">
        <v>82</v>
      </c>
      <c r="B60" s="11"/>
      <c r="C60" s="11" t="s">
        <v>29</v>
      </c>
      <c r="D60" s="11" t="s">
        <v>83</v>
      </c>
      <c r="E60" s="11"/>
      <c r="F60" s="11"/>
      <c r="G60" s="11"/>
      <c r="H60" s="11" t="s">
        <v>84</v>
      </c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8.2" customHeight="1">
      <c r="A61" s="119" t="s">
        <v>85</v>
      </c>
      <c r="B61" s="119"/>
      <c r="C61" s="24"/>
      <c r="D61" s="120" t="s">
        <v>86</v>
      </c>
      <c r="E61" s="120"/>
      <c r="F61" s="120"/>
      <c r="G61" s="120"/>
      <c r="H61" s="121" t="s">
        <v>138</v>
      </c>
      <c r="I61" s="121"/>
      <c r="J61" s="121"/>
      <c r="K61" s="121"/>
      <c r="L61" s="121"/>
      <c r="M61" s="121"/>
      <c r="N61" s="121"/>
      <c r="O61" s="121"/>
      <c r="P61" s="121"/>
      <c r="Q61" s="121"/>
    </row>
    <row r="62" spans="1:17" ht="18.2" customHeight="1">
      <c r="A62" s="122" t="s">
        <v>93</v>
      </c>
      <c r="B62" s="122"/>
      <c r="C62" s="37">
        <v>4</v>
      </c>
      <c r="D62" s="120" t="s">
        <v>140</v>
      </c>
      <c r="E62" s="120"/>
      <c r="F62" s="120"/>
      <c r="G62" s="120"/>
      <c r="H62" s="121" t="s">
        <v>141</v>
      </c>
      <c r="I62" s="121"/>
      <c r="J62" s="121"/>
      <c r="K62" s="121"/>
      <c r="L62" s="121"/>
      <c r="M62" s="121"/>
      <c r="N62" s="121"/>
      <c r="O62" s="121"/>
      <c r="P62" s="121"/>
      <c r="Q62" s="121"/>
    </row>
    <row r="63" spans="1:17" ht="18.2" customHeight="1">
      <c r="A63" s="146" t="s">
        <v>142</v>
      </c>
      <c r="B63" s="146"/>
      <c r="C63" s="37">
        <v>12</v>
      </c>
      <c r="D63" s="120" t="s">
        <v>144</v>
      </c>
      <c r="E63" s="120"/>
      <c r="F63" s="120"/>
      <c r="G63" s="120"/>
      <c r="H63" s="121" t="s">
        <v>145</v>
      </c>
      <c r="I63" s="121"/>
      <c r="J63" s="121"/>
      <c r="K63" s="121"/>
      <c r="L63" s="121"/>
      <c r="M63" s="121"/>
      <c r="N63" s="121"/>
      <c r="O63" s="121"/>
      <c r="P63" s="121"/>
      <c r="Q63" s="121"/>
    </row>
    <row r="64" spans="1:17" ht="18.2" customHeight="1">
      <c r="A64" s="122" t="s">
        <v>93</v>
      </c>
      <c r="B64" s="122"/>
      <c r="C64" s="37">
        <v>16</v>
      </c>
      <c r="D64" s="120" t="s">
        <v>147</v>
      </c>
      <c r="E64" s="120"/>
      <c r="F64" s="120"/>
      <c r="G64" s="120"/>
      <c r="H64" s="121" t="s">
        <v>148</v>
      </c>
      <c r="I64" s="121"/>
      <c r="J64" s="121"/>
      <c r="K64" s="121"/>
      <c r="L64" s="121"/>
      <c r="M64" s="121"/>
      <c r="N64" s="121"/>
      <c r="O64" s="121"/>
      <c r="P64" s="121"/>
      <c r="Q64" s="121"/>
    </row>
    <row r="65" spans="1:17" ht="18.2" customHeight="1">
      <c r="A65" s="122" t="s">
        <v>93</v>
      </c>
      <c r="B65" s="122"/>
      <c r="C65" s="37">
        <v>17</v>
      </c>
      <c r="D65" s="120" t="s">
        <v>147</v>
      </c>
      <c r="E65" s="120"/>
      <c r="F65" s="120"/>
      <c r="G65" s="120"/>
      <c r="H65" s="121" t="s">
        <v>150</v>
      </c>
      <c r="I65" s="121"/>
      <c r="J65" s="121"/>
      <c r="K65" s="121"/>
      <c r="L65" s="121"/>
      <c r="M65" s="121"/>
      <c r="N65" s="121"/>
      <c r="O65" s="121"/>
      <c r="P65" s="121"/>
      <c r="Q65" s="121"/>
    </row>
    <row r="66" spans="1:17" ht="18.2" customHeight="1">
      <c r="A66" s="119" t="s">
        <v>85</v>
      </c>
      <c r="B66" s="119"/>
      <c r="C66" s="37">
        <v>18</v>
      </c>
      <c r="D66" s="120" t="s">
        <v>86</v>
      </c>
      <c r="E66" s="120"/>
      <c r="F66" s="120"/>
      <c r="G66" s="120"/>
      <c r="H66" s="121" t="s">
        <v>152</v>
      </c>
      <c r="I66" s="121"/>
      <c r="J66" s="121"/>
      <c r="K66" s="121"/>
      <c r="L66" s="121"/>
      <c r="M66" s="121"/>
      <c r="N66" s="121"/>
      <c r="O66" s="121"/>
      <c r="P66" s="121"/>
      <c r="Q66" s="121"/>
    </row>
    <row r="68" spans="1:17" ht="17" customHeight="1">
      <c r="A68" s="123" t="s">
        <v>153</v>
      </c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</row>
    <row r="69" spans="1:17" ht="18" customHeight="1">
      <c r="A69" s="123" t="s">
        <v>103</v>
      </c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</row>
    <row r="70" spans="1:17" ht="18" customHeight="1">
      <c r="A70" s="124" t="s">
        <v>3</v>
      </c>
    </row>
  </sheetData>
  <mergeCells count="95">
    <mergeCell ref="A1:P1"/>
    <mergeCell ref="A2:Q2"/>
    <mergeCell ref="A5:C5"/>
    <mergeCell ref="D5:H5"/>
    <mergeCell ref="I5:K5"/>
    <mergeCell ref="L5:N5"/>
    <mergeCell ref="A6:C6"/>
    <mergeCell ref="D6:H6"/>
    <mergeCell ref="I6:K6"/>
    <mergeCell ref="L6:N6"/>
    <mergeCell ref="A7:C7"/>
    <mergeCell ref="D7:H7"/>
    <mergeCell ref="I7:K7"/>
    <mergeCell ref="L7:N7"/>
    <mergeCell ref="A8:C8"/>
    <mergeCell ref="D8:H8"/>
    <mergeCell ref="I8:K8"/>
    <mergeCell ref="L8:N8"/>
    <mergeCell ref="A9:C9"/>
    <mergeCell ref="D9:H9"/>
    <mergeCell ref="I9:K9"/>
    <mergeCell ref="L9:N9"/>
    <mergeCell ref="A10:C10"/>
    <mergeCell ref="D10:H10"/>
    <mergeCell ref="I10:K10"/>
    <mergeCell ref="L10:N10"/>
    <mergeCell ref="O5:Q5"/>
    <mergeCell ref="O6:Q7"/>
    <mergeCell ref="O8:Q8"/>
    <mergeCell ref="O9:Q9"/>
    <mergeCell ref="O10:Q10"/>
    <mergeCell ref="M11:Q11"/>
    <mergeCell ref="A12:A13"/>
    <mergeCell ref="B12:B13"/>
    <mergeCell ref="C12:C13"/>
    <mergeCell ref="H12:H13"/>
    <mergeCell ref="I12:I13"/>
    <mergeCell ref="J12:J13"/>
    <mergeCell ref="K12:K13"/>
    <mergeCell ref="L12:L13"/>
    <mergeCell ref="D12:E12"/>
    <mergeCell ref="F12:G12"/>
    <mergeCell ref="M12:M13"/>
    <mergeCell ref="N12:N13"/>
    <mergeCell ref="O12:O13"/>
    <mergeCell ref="P12:P13"/>
    <mergeCell ref="Q12:Q13"/>
    <mergeCell ref="A45:G45"/>
    <mergeCell ref="A47:J47"/>
    <mergeCell ref="L47:Q47"/>
    <mergeCell ref="A48:G48"/>
    <mergeCell ref="H48:J48"/>
    <mergeCell ref="A49:G49"/>
    <mergeCell ref="H49:J49"/>
    <mergeCell ref="A50:G50"/>
    <mergeCell ref="H50:J50"/>
    <mergeCell ref="A51:G51"/>
    <mergeCell ref="H51:J51"/>
    <mergeCell ref="A52:G52"/>
    <mergeCell ref="H52:J52"/>
    <mergeCell ref="A53:G53"/>
    <mergeCell ref="H53:J53"/>
    <mergeCell ref="A54:G54"/>
    <mergeCell ref="H54:J54"/>
    <mergeCell ref="A55:G55"/>
    <mergeCell ref="H55:J55"/>
    <mergeCell ref="A56:G56"/>
    <mergeCell ref="H56:J56"/>
    <mergeCell ref="A57:G57"/>
    <mergeCell ref="H57:J57"/>
    <mergeCell ref="L55:Q55"/>
    <mergeCell ref="A59:Q59"/>
    <mergeCell ref="A60:B60"/>
    <mergeCell ref="D60:G60"/>
    <mergeCell ref="H60:Q60"/>
    <mergeCell ref="A61:B61"/>
    <mergeCell ref="D61:G61"/>
    <mergeCell ref="H61:Q61"/>
    <mergeCell ref="A62:B62"/>
    <mergeCell ref="D62:G62"/>
    <mergeCell ref="H62:Q62"/>
    <mergeCell ref="A63:B63"/>
    <mergeCell ref="D63:G63"/>
    <mergeCell ref="H63:Q63"/>
    <mergeCell ref="A64:B64"/>
    <mergeCell ref="D64:G64"/>
    <mergeCell ref="H64:Q64"/>
    <mergeCell ref="A65:B65"/>
    <mergeCell ref="D65:G65"/>
    <mergeCell ref="H65:Q65"/>
    <mergeCell ref="A66:B66"/>
    <mergeCell ref="D66:G66"/>
    <mergeCell ref="H66:Q66"/>
    <mergeCell ref="A68:Q68"/>
    <mergeCell ref="A69:Q69"/>
  </mergeCells>
  <conditionalFormatting sqref="H50">
    <cfRule type="expression" dxfId="3" priority="4">
      <formula>AND(ISNUMBER(H50),ABS(H50)&gt;0.01)</formula>
    </cfRule>
  </conditionalFormatting>
  <conditionalFormatting sqref="H51">
    <cfRule type="beginsWith" dxfId="0" priority="1" operator="beginsWith" text="Corrisponde">
      <formula>LEFT(H51,11)="Corrisponde"</formula>
    </cfRule>
    <cfRule type="beginsWith" dxfId="1" priority="2" operator="beginsWith" text="Non corrisponde">
      <formula>LEFT(H51,15)="Non corrisponde"</formula>
    </cfRule>
    <cfRule type="beginsWith" dxfId="2" priority="3" operator="beginsWith" text="Totale non">
      <formula>LEFT(H51,10)="Totale non"</formula>
    </cfRule>
  </conditionalFormatting>
  <conditionalFormatting sqref="Q49:Q53">
    <cfRule type="beginsWith" dxfId="4" priority="5" operator="beginsWith" text="Oltre">
      <formula>LEFT(Q49,5)="Oltre"</formula>
    </cfRule>
    <cfRule type="beginsWith" dxfId="0" priority="6" operator="beginsWith" text="Entro">
      <formula>LEFT(Q49,5)="Entro"</formula>
    </cfRule>
    <cfRule type="beginsWith" dxfId="2" priority="7" operator="beginsWith" text="Ore PEI non">
      <formula>LEFT(Q49,11)="Ore PEI non"</formula>
    </cfRule>
  </conditionalFormatting>
  <hyperlinks>
    <hyperlink ref="Q4" location="'Riepilogo'!A1" tooltip="Torna al foglio Riepilogo" display="‹ Torna al Riepilogo"/>
    <hyperlink ref="C62" location="'ROSSI M. 02-2026'!A17" tooltip="Vai al giorno 4" display="4"/>
    <hyperlink ref="C63" location="'ROSSI M. 02-2026'!A25" tooltip="Vai al giorno 12" display="12"/>
    <hyperlink ref="C64" location="'ROSSI M. 02-2026'!A29" tooltip="Vai al giorno 16" display="16"/>
    <hyperlink ref="C65" location="'ROSSI M. 02-2026'!A30" tooltip="Vai al giorno 17" display="17"/>
    <hyperlink ref="C66" location="'ROSSI M. 02-2026'!A31" tooltip="Vai al giorno 18" display="18"/>
    <hyperlink ref="A70" location="'Riepilogo'!A1" display="‹ Torna al Riepilogo"/>
  </hyperlinks>
  <printOptions horizontalCentered="1"/>
  <pageMargins left="0.35" right="0.35" top="0.6" bottom="0.6" header="0.25" footer="0.25"/>
  <pageSetup paperSize="9" fitToHeight="0" orientation="landscape"/>
  <headerFooter>
    <oddHeader>&amp;L&amp;"Calibri,Regular"&amp;8&amp;K6B7280Sirio OCR · Rendicontazione Assistenza Specialistica&amp;R&amp;"Calibri,Regular"&amp;8&amp;K6B7280&amp;A</oddHeader>
    <oddFooter>&amp;L&amp;"Calibri,Regular"&amp;8&amp;K6B7280Generato il 10/10/2026 alle 17:01&amp;R&amp;"Calibri,Regular"&amp;8&amp;K6B7280Pagina &amp;P di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91C1C"/>
    <pageSetUpPr fitToPage="1"/>
  </sheetPr>
  <dimension ref="A1:Q70"/>
  <sheetViews>
    <sheetView showGridLines="0" workbookViewId="0">
      <pane ySplit="13" topLeftCell="A14" activePane="bottomLeft" state="frozen"/>
      <selection pane="bottomLeft"/>
    </sheetView>
  </sheetViews>
  <sheetFormatPr defaultRowHeight="18" customHeight="1"/>
  <cols>
    <col min="1" max="1" width="7.7109375" customWidth="1"/>
    <col min="2" max="2" width="11.7109375" customWidth="1"/>
    <col min="3" max="3" width="6.7109375" customWidth="1"/>
    <col min="4" max="7" width="9.28515625" customWidth="1"/>
    <col min="8" max="11" width="10.28515625" customWidth="1"/>
    <col min="12" max="12" width="22.7109375" customWidth="1"/>
    <col min="13" max="14" width="10.7109375" customWidth="1"/>
    <col min="15" max="15" width="11.28515625" customWidth="1"/>
    <col min="16" max="16" width="10.28515625" customWidth="1"/>
    <col min="17" max="17" width="44.7109375" customWidth="1"/>
  </cols>
  <sheetData>
    <row r="1" spans="1:17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3" t="s">
        <v>154</v>
      </c>
    </row>
    <row r="2" spans="1:17" ht="20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8" customHeight="1">
      <c r="Q4" s="74" t="s">
        <v>3</v>
      </c>
    </row>
    <row r="5" spans="1:17" ht="21" customHeight="1">
      <c r="A5" s="75" t="s">
        <v>4</v>
      </c>
      <c r="B5" s="75"/>
      <c r="C5" s="75"/>
      <c r="D5" s="76" t="s">
        <v>5</v>
      </c>
      <c r="E5" s="76"/>
      <c r="F5" s="76"/>
      <c r="G5" s="76"/>
      <c r="H5" s="76"/>
      <c r="I5" s="75" t="s">
        <v>6</v>
      </c>
      <c r="J5" s="75"/>
      <c r="K5" s="75"/>
      <c r="L5" s="77">
        <v>46082</v>
      </c>
      <c r="M5" s="77"/>
      <c r="N5" s="77"/>
      <c r="O5" s="138" t="s">
        <v>23</v>
      </c>
      <c r="P5" s="138"/>
      <c r="Q5" s="138"/>
    </row>
    <row r="6" spans="1:17" ht="21" customHeight="1">
      <c r="A6" s="75" t="s">
        <v>7</v>
      </c>
      <c r="B6" s="75"/>
      <c r="C6" s="75"/>
      <c r="D6" s="76" t="s">
        <v>8</v>
      </c>
      <c r="E6" s="76"/>
      <c r="F6" s="76"/>
      <c r="G6" s="76"/>
      <c r="H6" s="76"/>
      <c r="I6" s="75" t="s">
        <v>9</v>
      </c>
      <c r="J6" s="75"/>
      <c r="K6" s="75"/>
      <c r="L6" s="126">
        <v>15</v>
      </c>
      <c r="M6" s="126"/>
      <c r="N6" s="126"/>
      <c r="O6" s="139" t="s">
        <v>128</v>
      </c>
      <c r="P6" s="139"/>
      <c r="Q6" s="139"/>
    </row>
    <row r="7" spans="1:17" ht="21" customHeight="1">
      <c r="A7" s="75" t="s">
        <v>10</v>
      </c>
      <c r="B7" s="75"/>
      <c r="C7" s="75"/>
      <c r="D7" s="81" t="s">
        <v>126</v>
      </c>
      <c r="E7" s="81"/>
      <c r="F7" s="81"/>
      <c r="G7" s="81"/>
      <c r="H7" s="81"/>
      <c r="I7" s="75" t="s">
        <v>12</v>
      </c>
      <c r="J7" s="75"/>
      <c r="K7" s="75"/>
      <c r="L7" s="76" t="s">
        <v>107</v>
      </c>
      <c r="M7" s="76"/>
      <c r="N7" s="76"/>
      <c r="O7" s="139"/>
      <c r="P7" s="139"/>
      <c r="Q7" s="139"/>
    </row>
    <row r="8" spans="1:17" ht="21" customHeight="1">
      <c r="A8" s="75" t="s">
        <v>14</v>
      </c>
      <c r="B8" s="75"/>
      <c r="C8" s="75"/>
      <c r="D8" s="81" t="s">
        <v>127</v>
      </c>
      <c r="E8" s="81"/>
      <c r="F8" s="81"/>
      <c r="G8" s="81"/>
      <c r="H8" s="81"/>
      <c r="I8" s="75" t="s">
        <v>16</v>
      </c>
      <c r="J8" s="75"/>
      <c r="K8" s="75"/>
      <c r="L8" s="82">
        <v>46112</v>
      </c>
      <c r="M8" s="82"/>
      <c r="N8" s="82"/>
      <c r="O8" s="141" t="s">
        <v>155</v>
      </c>
      <c r="P8" s="141"/>
      <c r="Q8" s="141"/>
    </row>
    <row r="9" spans="1:17" ht="21" customHeight="1">
      <c r="A9" s="75" t="s">
        <v>17</v>
      </c>
      <c r="B9" s="75"/>
      <c r="C9" s="75"/>
      <c r="D9" s="84">
        <v>1</v>
      </c>
      <c r="E9" s="84"/>
      <c r="F9" s="84"/>
      <c r="G9" s="84"/>
      <c r="H9" s="84"/>
      <c r="I9" s="75" t="s">
        <v>18</v>
      </c>
      <c r="J9" s="75"/>
      <c r="K9" s="75"/>
      <c r="L9" s="85" t="s">
        <v>19</v>
      </c>
      <c r="M9" s="85"/>
      <c r="N9" s="85"/>
      <c r="O9" s="141" t="s">
        <v>26</v>
      </c>
      <c r="P9" s="141"/>
      <c r="Q9" s="141"/>
    </row>
    <row r="10" spans="1:17" ht="21" customHeight="1">
      <c r="A10" s="75" t="s">
        <v>20</v>
      </c>
      <c r="B10" s="75"/>
      <c r="C10" s="75"/>
      <c r="D10" s="84">
        <v>2</v>
      </c>
      <c r="E10" s="84"/>
      <c r="F10" s="84"/>
      <c r="G10" s="84"/>
      <c r="H10" s="84"/>
      <c r="I10" s="75" t="s">
        <v>21</v>
      </c>
      <c r="J10" s="75"/>
      <c r="K10" s="75"/>
      <c r="L10" s="85" t="s">
        <v>19</v>
      </c>
      <c r="M10" s="85"/>
      <c r="N10" s="85"/>
      <c r="O10" s="142" t="s">
        <v>27</v>
      </c>
      <c r="P10" s="142"/>
      <c r="Q10" s="142"/>
    </row>
    <row r="11" spans="1:17" ht="16" customHeight="1">
      <c r="M11" s="88" t="s">
        <v>28</v>
      </c>
      <c r="N11" s="88"/>
      <c r="O11" s="88"/>
      <c r="P11" s="88"/>
      <c r="Q11" s="88"/>
    </row>
    <row r="12" spans="1:17" ht="30" customHeight="1">
      <c r="A12" s="11" t="s">
        <v>29</v>
      </c>
      <c r="B12" s="11" t="s">
        <v>30</v>
      </c>
      <c r="C12" s="11" t="s">
        <v>31</v>
      </c>
      <c r="D12" s="11" t="s">
        <v>37</v>
      </c>
      <c r="E12" s="11"/>
      <c r="F12" s="11" t="s">
        <v>38</v>
      </c>
      <c r="G12" s="11"/>
      <c r="H12" s="11" t="s">
        <v>32</v>
      </c>
      <c r="I12" s="11" t="s">
        <v>33</v>
      </c>
      <c r="J12" s="11" t="s">
        <v>34</v>
      </c>
      <c r="K12" s="11" t="s">
        <v>35</v>
      </c>
      <c r="L12" s="11" t="s">
        <v>36</v>
      </c>
      <c r="M12" s="12" t="s">
        <v>41</v>
      </c>
      <c r="N12" s="12" t="s">
        <v>42</v>
      </c>
      <c r="O12" s="12" t="s">
        <v>43</v>
      </c>
      <c r="P12" s="12" t="s">
        <v>44</v>
      </c>
      <c r="Q12" s="12" t="s">
        <v>45</v>
      </c>
    </row>
    <row r="13" spans="1:17" ht="18" customHeight="1">
      <c r="A13" s="11"/>
      <c r="B13" s="11"/>
      <c r="C13" s="11"/>
      <c r="D13" s="11" t="s">
        <v>39</v>
      </c>
      <c r="E13" s="11" t="s">
        <v>40</v>
      </c>
      <c r="F13" s="11" t="s">
        <v>39</v>
      </c>
      <c r="G13" s="11" t="s">
        <v>40</v>
      </c>
      <c r="H13" s="11"/>
      <c r="I13" s="11"/>
      <c r="J13" s="11"/>
      <c r="K13" s="11"/>
      <c r="L13" s="11"/>
      <c r="M13" s="12"/>
      <c r="N13" s="12"/>
      <c r="O13" s="12"/>
      <c r="P13" s="12"/>
      <c r="Q13" s="12"/>
    </row>
    <row r="14" spans="1:17" ht="18" customHeight="1">
      <c r="A14" s="89">
        <v>1</v>
      </c>
      <c r="B14" s="90">
        <v>46082</v>
      </c>
      <c r="C14" s="91" t="s">
        <v>46</v>
      </c>
      <c r="D14" s="57"/>
      <c r="E14" s="57"/>
      <c r="F14" s="57"/>
      <c r="G14" s="57"/>
      <c r="H14" s="89"/>
      <c r="I14" s="89"/>
      <c r="J14" s="89"/>
      <c r="K14" s="57"/>
      <c r="L14" s="92"/>
      <c r="M14" s="59">
        <f>IF(AND(ISNUMBER(D14),ISNUMBER(E14)),IF(E14&gt;D14,(E14-D14)*24,""),"")</f>
        <v/>
      </c>
      <c r="N14" s="60">
        <f>IF(AND(ISNUMBER(F14),ISNUMBER(G14)),IF(G14&gt;F14,(G14-F14)*24,""),"")</f>
        <v/>
      </c>
      <c r="O14" s="61">
        <f>IF(J14="X",0,IF(ISNUMBER(H14),H14,IF(ISNUMBER(N14),N14,"")))</f>
        <v/>
      </c>
      <c r="P14" s="62">
        <f>IF(AND(ISNUMBER(H14),ISNUMBER(N14)),H14-N14,"")</f>
        <v/>
      </c>
      <c r="Q14" s="93" t="s">
        <v>47</v>
      </c>
    </row>
    <row r="15" spans="1:17" ht="18" customHeight="1">
      <c r="A15" s="23">
        <v>2</v>
      </c>
      <c r="B15" s="94">
        <v>46083</v>
      </c>
      <c r="C15" s="95" t="s">
        <v>48</v>
      </c>
      <c r="D15" s="43">
        <v>0.3333333333333333</v>
      </c>
      <c r="E15" s="43">
        <v>0.4583333333333333</v>
      </c>
      <c r="F15" s="43">
        <v>0.3333333333333333</v>
      </c>
      <c r="G15" s="43">
        <v>0.4583333333333333</v>
      </c>
      <c r="H15" s="96">
        <v>3</v>
      </c>
      <c r="I15" s="23"/>
      <c r="J15" s="23"/>
      <c r="K15" s="24" t="s">
        <v>13</v>
      </c>
      <c r="L15" s="97"/>
      <c r="M15" s="44">
        <f>IF(AND(ISNUMBER(D15),ISNUMBER(E15)),IF(E15&gt;D15,(E15-D15)*24,""),"")</f>
        <v>3.0</v>
      </c>
      <c r="N15" s="45">
        <f>IF(AND(ISNUMBER(F15),ISNUMBER(G15)),IF(G15&gt;F15,(G15-F15)*24,""),"")</f>
        <v>3.0</v>
      </c>
      <c r="O15" s="46">
        <f>IF(J15="X",0,IF(ISNUMBER(H15),H15,IF(ISNUMBER(N15),N15,"")))</f>
        <v>3.0</v>
      </c>
      <c r="P15" s="47">
        <f>IF(AND(ISNUMBER(H15),ISNUMBER(N15)),H15-N15,"")</f>
        <v>0.0</v>
      </c>
      <c r="Q15" s="98" t="s">
        <v>49</v>
      </c>
    </row>
    <row r="16" spans="1:17" ht="18" customHeight="1">
      <c r="A16" s="23">
        <v>3</v>
      </c>
      <c r="B16" s="94">
        <v>46084</v>
      </c>
      <c r="C16" s="95" t="s">
        <v>50</v>
      </c>
      <c r="D16" s="43">
        <v>0.3333333333333333</v>
      </c>
      <c r="E16" s="43">
        <v>0.4583333333333333</v>
      </c>
      <c r="F16" s="43">
        <v>0.3333333333333333</v>
      </c>
      <c r="G16" s="43">
        <v>0.4583333333333333</v>
      </c>
      <c r="H16" s="96">
        <v>3</v>
      </c>
      <c r="I16" s="23"/>
      <c r="J16" s="23"/>
      <c r="K16" s="24" t="s">
        <v>13</v>
      </c>
      <c r="L16" s="97"/>
      <c r="M16" s="44">
        <f>IF(AND(ISNUMBER(D16),ISNUMBER(E16)),IF(E16&gt;D16,(E16-D16)*24,""),"")</f>
        <v>3.0</v>
      </c>
      <c r="N16" s="45">
        <f>IF(AND(ISNUMBER(F16),ISNUMBER(G16)),IF(G16&gt;F16,(G16-F16)*24,""),"")</f>
        <v>3.0</v>
      </c>
      <c r="O16" s="46">
        <f>IF(J16="X",0,IF(ISNUMBER(H16),H16,IF(ISNUMBER(N16),N16,"")))</f>
        <v>3.0</v>
      </c>
      <c r="P16" s="47">
        <f>IF(AND(ISNUMBER(H16),ISNUMBER(N16)),H16-N16,"")</f>
        <v>0.0</v>
      </c>
      <c r="Q16" s="98" t="s">
        <v>49</v>
      </c>
    </row>
    <row r="17" spans="1:17" ht="18" customHeight="1">
      <c r="A17" s="23">
        <v>4</v>
      </c>
      <c r="B17" s="94">
        <v>46085</v>
      </c>
      <c r="C17" s="95" t="s">
        <v>51</v>
      </c>
      <c r="D17" s="43">
        <v>0.3333333333333333</v>
      </c>
      <c r="E17" s="43">
        <v>0.4583333333333333</v>
      </c>
      <c r="F17" s="43">
        <v>0.3333333333333333</v>
      </c>
      <c r="G17" s="43">
        <v>0.4583333333333333</v>
      </c>
      <c r="H17" s="96">
        <v>3</v>
      </c>
      <c r="I17" s="23"/>
      <c r="J17" s="23"/>
      <c r="K17" s="24" t="s">
        <v>13</v>
      </c>
      <c r="L17" s="97"/>
      <c r="M17" s="44">
        <f>IF(AND(ISNUMBER(D17),ISNUMBER(E17)),IF(E17&gt;D17,(E17-D17)*24,""),"")</f>
        <v>3.0</v>
      </c>
      <c r="N17" s="45">
        <f>IF(AND(ISNUMBER(F17),ISNUMBER(G17)),IF(G17&gt;F17,(G17-F17)*24,""),"")</f>
        <v>3.0</v>
      </c>
      <c r="O17" s="46">
        <f>IF(J17="X",0,IF(ISNUMBER(H17),H17,IF(ISNUMBER(N17),N17,"")))</f>
        <v>3.0</v>
      </c>
      <c r="P17" s="47">
        <f>IF(AND(ISNUMBER(H17),ISNUMBER(N17)),H17-N17,"")</f>
        <v>0.0</v>
      </c>
      <c r="Q17" s="98" t="s">
        <v>49</v>
      </c>
    </row>
    <row r="18" spans="1:17" ht="18" customHeight="1">
      <c r="A18" s="23">
        <v>5</v>
      </c>
      <c r="B18" s="94">
        <v>46086</v>
      </c>
      <c r="C18" s="95" t="s">
        <v>52</v>
      </c>
      <c r="D18" s="43">
        <v>0.3333333333333333</v>
      </c>
      <c r="E18" s="43">
        <v>0.4583333333333333</v>
      </c>
      <c r="F18" s="43">
        <v>0.3333333333333333</v>
      </c>
      <c r="G18" s="43">
        <v>0.4583333333333333</v>
      </c>
      <c r="H18" s="96">
        <v>3</v>
      </c>
      <c r="I18" s="23"/>
      <c r="J18" s="23"/>
      <c r="K18" s="24" t="s">
        <v>13</v>
      </c>
      <c r="L18" s="97"/>
      <c r="M18" s="44">
        <f>IF(AND(ISNUMBER(D18),ISNUMBER(E18)),IF(E18&gt;D18,(E18-D18)*24,""),"")</f>
        <v>3.0</v>
      </c>
      <c r="N18" s="45">
        <f>IF(AND(ISNUMBER(F18),ISNUMBER(G18)),IF(G18&gt;F18,(G18-F18)*24,""),"")</f>
        <v>3.0</v>
      </c>
      <c r="O18" s="46">
        <f>IF(J18="X",0,IF(ISNUMBER(H18),H18,IF(ISNUMBER(N18),N18,"")))</f>
        <v>3.0</v>
      </c>
      <c r="P18" s="47">
        <f>IF(AND(ISNUMBER(H18),ISNUMBER(N18)),H18-N18,"")</f>
        <v>0.0</v>
      </c>
      <c r="Q18" s="98" t="s">
        <v>49</v>
      </c>
    </row>
    <row r="19" spans="1:17" ht="18" customHeight="1">
      <c r="A19" s="23">
        <v>6</v>
      </c>
      <c r="B19" s="94">
        <v>46087</v>
      </c>
      <c r="C19" s="95" t="s">
        <v>53</v>
      </c>
      <c r="D19" s="43">
        <v>0.3333333333333333</v>
      </c>
      <c r="E19" s="43">
        <v>0.4583333333333333</v>
      </c>
      <c r="F19" s="43">
        <v>0.3333333333333333</v>
      </c>
      <c r="G19" s="43">
        <v>0.4583333333333333</v>
      </c>
      <c r="H19" s="96">
        <v>3</v>
      </c>
      <c r="I19" s="23"/>
      <c r="J19" s="23"/>
      <c r="K19" s="24" t="s">
        <v>13</v>
      </c>
      <c r="L19" s="97"/>
      <c r="M19" s="44">
        <f>IF(AND(ISNUMBER(D19),ISNUMBER(E19)),IF(E19&gt;D19,(E19-D19)*24,""),"")</f>
        <v>3.0</v>
      </c>
      <c r="N19" s="45">
        <f>IF(AND(ISNUMBER(F19),ISNUMBER(G19)),IF(G19&gt;F19,(G19-F19)*24,""),"")</f>
        <v>3.0</v>
      </c>
      <c r="O19" s="46">
        <f>IF(J19="X",0,IF(ISNUMBER(H19),H19,IF(ISNUMBER(N19),N19,"")))</f>
        <v>3.0</v>
      </c>
      <c r="P19" s="47">
        <f>IF(AND(ISNUMBER(H19),ISNUMBER(N19)),H19-N19,"")</f>
        <v>0.0</v>
      </c>
      <c r="Q19" s="98" t="s">
        <v>49</v>
      </c>
    </row>
    <row r="20" spans="1:17" ht="18" customHeight="1">
      <c r="A20" s="89">
        <v>7</v>
      </c>
      <c r="B20" s="90">
        <v>46088</v>
      </c>
      <c r="C20" s="99" t="s">
        <v>54</v>
      </c>
      <c r="D20" s="57"/>
      <c r="E20" s="57"/>
      <c r="F20" s="57"/>
      <c r="G20" s="57"/>
      <c r="H20" s="89"/>
      <c r="I20" s="89"/>
      <c r="J20" s="89"/>
      <c r="K20" s="57"/>
      <c r="L20" s="92"/>
      <c r="M20" s="59">
        <f>IF(AND(ISNUMBER(D20),ISNUMBER(E20)),IF(E20&gt;D20,(E20-D20)*24,""),"")</f>
        <v/>
      </c>
      <c r="N20" s="60">
        <f>IF(AND(ISNUMBER(F20),ISNUMBER(G20)),IF(G20&gt;F20,(G20-F20)*24,""),"")</f>
        <v/>
      </c>
      <c r="O20" s="61">
        <f>IF(J20="X",0,IF(ISNUMBER(H20),H20,IF(ISNUMBER(N20),N20,"")))</f>
        <v/>
      </c>
      <c r="P20" s="62">
        <f>IF(AND(ISNUMBER(H20),ISNUMBER(N20)),H20-N20,"")</f>
        <v/>
      </c>
      <c r="Q20" s="93" t="s">
        <v>55</v>
      </c>
    </row>
    <row r="21" spans="1:17" ht="18" customHeight="1">
      <c r="A21" s="89">
        <v>8</v>
      </c>
      <c r="B21" s="90">
        <v>46089</v>
      </c>
      <c r="C21" s="91" t="s">
        <v>46</v>
      </c>
      <c r="D21" s="57"/>
      <c r="E21" s="57"/>
      <c r="F21" s="57"/>
      <c r="G21" s="57"/>
      <c r="H21" s="89"/>
      <c r="I21" s="89"/>
      <c r="J21" s="89"/>
      <c r="K21" s="57"/>
      <c r="L21" s="92"/>
      <c r="M21" s="59">
        <f>IF(AND(ISNUMBER(D21),ISNUMBER(E21)),IF(E21&gt;D21,(E21-D21)*24,""),"")</f>
        <v/>
      </c>
      <c r="N21" s="60">
        <f>IF(AND(ISNUMBER(F21),ISNUMBER(G21)),IF(G21&gt;F21,(G21-F21)*24,""),"")</f>
        <v/>
      </c>
      <c r="O21" s="61">
        <f>IF(J21="X",0,IF(ISNUMBER(H21),H21,IF(ISNUMBER(N21),N21,"")))</f>
        <v/>
      </c>
      <c r="P21" s="62">
        <f>IF(AND(ISNUMBER(H21),ISNUMBER(N21)),H21-N21,"")</f>
        <v/>
      </c>
      <c r="Q21" s="93" t="s">
        <v>47</v>
      </c>
    </row>
    <row r="22" spans="1:17" ht="18" customHeight="1">
      <c r="A22" s="23">
        <v>9</v>
      </c>
      <c r="B22" s="94">
        <v>46090</v>
      </c>
      <c r="C22" s="95" t="s">
        <v>48</v>
      </c>
      <c r="D22" s="43">
        <v>0.3333333333333333</v>
      </c>
      <c r="E22" s="43">
        <v>0.4583333333333333</v>
      </c>
      <c r="F22" s="43">
        <v>0.3333333333333333</v>
      </c>
      <c r="G22" s="43">
        <v>0.4583333333333333</v>
      </c>
      <c r="H22" s="96">
        <v>3</v>
      </c>
      <c r="I22" s="23"/>
      <c r="J22" s="23"/>
      <c r="K22" s="24" t="s">
        <v>13</v>
      </c>
      <c r="L22" s="97"/>
      <c r="M22" s="44">
        <f>IF(AND(ISNUMBER(D22),ISNUMBER(E22)),IF(E22&gt;D22,(E22-D22)*24,""),"")</f>
        <v>3.0</v>
      </c>
      <c r="N22" s="45">
        <f>IF(AND(ISNUMBER(F22),ISNUMBER(G22)),IF(G22&gt;F22,(G22-F22)*24,""),"")</f>
        <v>3.0</v>
      </c>
      <c r="O22" s="46">
        <f>IF(J22="X",0,IF(ISNUMBER(H22),H22,IF(ISNUMBER(N22),N22,"")))</f>
        <v>3.0</v>
      </c>
      <c r="P22" s="47">
        <f>IF(AND(ISNUMBER(H22),ISNUMBER(N22)),H22-N22,"")</f>
        <v>0.0</v>
      </c>
      <c r="Q22" s="98" t="s">
        <v>49</v>
      </c>
    </row>
    <row r="23" spans="1:17" ht="18" customHeight="1">
      <c r="A23" s="23">
        <v>10</v>
      </c>
      <c r="B23" s="94">
        <v>46091</v>
      </c>
      <c r="C23" s="95" t="s">
        <v>50</v>
      </c>
      <c r="D23" s="43">
        <v>0.3333333333333333</v>
      </c>
      <c r="E23" s="43">
        <v>0.4583333333333333</v>
      </c>
      <c r="F23" s="43">
        <v>0.3333333333333333</v>
      </c>
      <c r="G23" s="43">
        <v>0.4583333333333333</v>
      </c>
      <c r="H23" s="96">
        <v>3</v>
      </c>
      <c r="I23" s="23"/>
      <c r="J23" s="23"/>
      <c r="K23" s="24" t="s">
        <v>13</v>
      </c>
      <c r="L23" s="97"/>
      <c r="M23" s="44">
        <f>IF(AND(ISNUMBER(D23),ISNUMBER(E23)),IF(E23&gt;D23,(E23-D23)*24,""),"")</f>
        <v>3.0</v>
      </c>
      <c r="N23" s="45">
        <f>IF(AND(ISNUMBER(F23),ISNUMBER(G23)),IF(G23&gt;F23,(G23-F23)*24,""),"")</f>
        <v>3.0</v>
      </c>
      <c r="O23" s="46">
        <f>IF(J23="X",0,IF(ISNUMBER(H23),H23,IF(ISNUMBER(N23),N23,"")))</f>
        <v>3.0</v>
      </c>
      <c r="P23" s="47">
        <f>IF(AND(ISNUMBER(H23),ISNUMBER(N23)),H23-N23,"")</f>
        <v>0.0</v>
      </c>
      <c r="Q23" s="98" t="s">
        <v>49</v>
      </c>
    </row>
    <row r="24" spans="1:17" ht="18" customHeight="1">
      <c r="A24" s="23">
        <v>11</v>
      </c>
      <c r="B24" s="94">
        <v>46092</v>
      </c>
      <c r="C24" s="95" t="s">
        <v>51</v>
      </c>
      <c r="D24" s="43">
        <v>0.3333333333333333</v>
      </c>
      <c r="E24" s="43">
        <v>0.4583333333333333</v>
      </c>
      <c r="F24" s="43">
        <v>0.3333333333333333</v>
      </c>
      <c r="G24" s="43">
        <v>0.4375</v>
      </c>
      <c r="H24" s="96">
        <v>3</v>
      </c>
      <c r="I24" s="23"/>
      <c r="J24" s="23"/>
      <c r="K24" s="24" t="s">
        <v>13</v>
      </c>
      <c r="L24" s="97"/>
      <c r="M24" s="44">
        <f>IF(AND(ISNUMBER(D24),ISNUMBER(E24)),IF(E24&gt;D24,(E24-D24)*24,""),"")</f>
        <v>3.0</v>
      </c>
      <c r="N24" s="45">
        <f>IF(AND(ISNUMBER(F24),ISNUMBER(G24)),IF(G24&gt;F24,(G24-F24)*24,""),"")</f>
        <v>2.5</v>
      </c>
      <c r="O24" s="46">
        <f>IF(J24="X",0,IF(ISNUMBER(H24),H24,IF(ISNUMBER(N24),N24,"")))</f>
        <v>3.0</v>
      </c>
      <c r="P24" s="147">
        <f>IF(AND(ISNUMBER(H24),ISNUMBER(N24)),H24-N24,"")</f>
        <v>0.5</v>
      </c>
      <c r="Q24" s="143" t="s">
        <v>156</v>
      </c>
    </row>
    <row r="25" spans="1:17" ht="18" customHeight="1">
      <c r="A25" s="23">
        <v>12</v>
      </c>
      <c r="B25" s="94">
        <v>46093</v>
      </c>
      <c r="C25" s="95" t="s">
        <v>52</v>
      </c>
      <c r="D25" s="43">
        <v>0.3333333333333333</v>
      </c>
      <c r="E25" s="43">
        <v>0.4583333333333333</v>
      </c>
      <c r="F25" s="43">
        <v>0.3333333333333333</v>
      </c>
      <c r="G25" s="43">
        <v>0.4583333333333333</v>
      </c>
      <c r="H25" s="96">
        <v>3</v>
      </c>
      <c r="I25" s="23"/>
      <c r="J25" s="23"/>
      <c r="K25" s="24" t="s">
        <v>13</v>
      </c>
      <c r="L25" s="97"/>
      <c r="M25" s="44">
        <f>IF(AND(ISNUMBER(D25),ISNUMBER(E25)),IF(E25&gt;D25,(E25-D25)*24,""),"")</f>
        <v>3.0</v>
      </c>
      <c r="N25" s="45">
        <f>IF(AND(ISNUMBER(F25),ISNUMBER(G25)),IF(G25&gt;F25,(G25-F25)*24,""),"")</f>
        <v>3.0</v>
      </c>
      <c r="O25" s="46">
        <f>IF(J25="X",0,IF(ISNUMBER(H25),H25,IF(ISNUMBER(N25),N25,"")))</f>
        <v>3.0</v>
      </c>
      <c r="P25" s="47">
        <f>IF(AND(ISNUMBER(H25),ISNUMBER(N25)),H25-N25,"")</f>
        <v>0.0</v>
      </c>
      <c r="Q25" s="98" t="s">
        <v>49</v>
      </c>
    </row>
    <row r="26" spans="1:17" ht="18" customHeight="1">
      <c r="A26" s="23">
        <v>13</v>
      </c>
      <c r="B26" s="94">
        <v>46094</v>
      </c>
      <c r="C26" s="95" t="s">
        <v>53</v>
      </c>
      <c r="D26" s="43">
        <v>0.3333333333333333</v>
      </c>
      <c r="E26" s="43">
        <v>0.4583333333333333</v>
      </c>
      <c r="F26" s="43">
        <v>0.3333333333333333</v>
      </c>
      <c r="G26" s="43">
        <v>0.4583333333333333</v>
      </c>
      <c r="H26" s="96">
        <v>3</v>
      </c>
      <c r="I26" s="23"/>
      <c r="J26" s="23"/>
      <c r="K26" s="24" t="s">
        <v>13</v>
      </c>
      <c r="L26" s="97"/>
      <c r="M26" s="44">
        <f>IF(AND(ISNUMBER(D26),ISNUMBER(E26)),IF(E26&gt;D26,(E26-D26)*24,""),"")</f>
        <v>3.0</v>
      </c>
      <c r="N26" s="45">
        <f>IF(AND(ISNUMBER(F26),ISNUMBER(G26)),IF(G26&gt;F26,(G26-F26)*24,""),"")</f>
        <v>3.0</v>
      </c>
      <c r="O26" s="46">
        <f>IF(J26="X",0,IF(ISNUMBER(H26),H26,IF(ISNUMBER(N26),N26,"")))</f>
        <v>3.0</v>
      </c>
      <c r="P26" s="47">
        <f>IF(AND(ISNUMBER(H26),ISNUMBER(N26)),H26-N26,"")</f>
        <v>0.0</v>
      </c>
      <c r="Q26" s="98" t="s">
        <v>49</v>
      </c>
    </row>
    <row r="27" spans="1:17" ht="18" customHeight="1">
      <c r="A27" s="89">
        <v>14</v>
      </c>
      <c r="B27" s="90">
        <v>46095</v>
      </c>
      <c r="C27" s="99" t="s">
        <v>54</v>
      </c>
      <c r="D27" s="57"/>
      <c r="E27" s="57"/>
      <c r="F27" s="57"/>
      <c r="G27" s="57"/>
      <c r="H27" s="89"/>
      <c r="I27" s="89"/>
      <c r="J27" s="89"/>
      <c r="K27" s="57"/>
      <c r="L27" s="92"/>
      <c r="M27" s="59">
        <f>IF(AND(ISNUMBER(D27),ISNUMBER(E27)),IF(E27&gt;D27,(E27-D27)*24,""),"")</f>
        <v/>
      </c>
      <c r="N27" s="60">
        <f>IF(AND(ISNUMBER(F27),ISNUMBER(G27)),IF(G27&gt;F27,(G27-F27)*24,""),"")</f>
        <v/>
      </c>
      <c r="O27" s="61">
        <f>IF(J27="X",0,IF(ISNUMBER(H27),H27,IF(ISNUMBER(N27),N27,"")))</f>
        <v/>
      </c>
      <c r="P27" s="62">
        <f>IF(AND(ISNUMBER(H27),ISNUMBER(N27)),H27-N27,"")</f>
        <v/>
      </c>
      <c r="Q27" s="93" t="s">
        <v>55</v>
      </c>
    </row>
    <row r="28" spans="1:17" ht="18" customHeight="1">
      <c r="A28" s="89">
        <v>15</v>
      </c>
      <c r="B28" s="90">
        <v>46096</v>
      </c>
      <c r="C28" s="91" t="s">
        <v>46</v>
      </c>
      <c r="D28" s="57"/>
      <c r="E28" s="57"/>
      <c r="F28" s="57"/>
      <c r="G28" s="57"/>
      <c r="H28" s="89"/>
      <c r="I28" s="89"/>
      <c r="J28" s="89"/>
      <c r="K28" s="57"/>
      <c r="L28" s="92"/>
      <c r="M28" s="59">
        <f>IF(AND(ISNUMBER(D28),ISNUMBER(E28)),IF(E28&gt;D28,(E28-D28)*24,""),"")</f>
        <v/>
      </c>
      <c r="N28" s="60">
        <f>IF(AND(ISNUMBER(F28),ISNUMBER(G28)),IF(G28&gt;F28,(G28-F28)*24,""),"")</f>
        <v/>
      </c>
      <c r="O28" s="61">
        <f>IF(J28="X",0,IF(ISNUMBER(H28),H28,IF(ISNUMBER(N28),N28,"")))</f>
        <v/>
      </c>
      <c r="P28" s="62">
        <f>IF(AND(ISNUMBER(H28),ISNUMBER(N28)),H28-N28,"")</f>
        <v/>
      </c>
      <c r="Q28" s="93" t="s">
        <v>47</v>
      </c>
    </row>
    <row r="29" spans="1:17" ht="18" customHeight="1">
      <c r="A29" s="23">
        <v>16</v>
      </c>
      <c r="B29" s="94">
        <v>46097</v>
      </c>
      <c r="C29" s="95" t="s">
        <v>48</v>
      </c>
      <c r="D29" s="43">
        <v>0.3333333333333333</v>
      </c>
      <c r="E29" s="43">
        <v>0.4583333333333333</v>
      </c>
      <c r="F29" s="43">
        <v>0.3333333333333333</v>
      </c>
      <c r="G29" s="43">
        <v>0.4583333333333333</v>
      </c>
      <c r="H29" s="96">
        <v>3</v>
      </c>
      <c r="I29" s="23"/>
      <c r="J29" s="23"/>
      <c r="K29" s="24" t="s">
        <v>13</v>
      </c>
      <c r="L29" s="97"/>
      <c r="M29" s="44">
        <f>IF(AND(ISNUMBER(D29),ISNUMBER(E29)),IF(E29&gt;D29,(E29-D29)*24,""),"")</f>
        <v>3.0</v>
      </c>
      <c r="N29" s="45">
        <f>IF(AND(ISNUMBER(F29),ISNUMBER(G29)),IF(G29&gt;F29,(G29-F29)*24,""),"")</f>
        <v>3.0</v>
      </c>
      <c r="O29" s="46">
        <f>IF(J29="X",0,IF(ISNUMBER(H29),H29,IF(ISNUMBER(N29),N29,"")))</f>
        <v>3.0</v>
      </c>
      <c r="P29" s="47">
        <f>IF(AND(ISNUMBER(H29),ISNUMBER(N29)),H29-N29,"")</f>
        <v>0.0</v>
      </c>
      <c r="Q29" s="98" t="s">
        <v>49</v>
      </c>
    </row>
    <row r="30" spans="1:17" ht="18" customHeight="1">
      <c r="A30" s="23">
        <v>17</v>
      </c>
      <c r="B30" s="94">
        <v>46098</v>
      </c>
      <c r="C30" s="95" t="s">
        <v>50</v>
      </c>
      <c r="D30" s="43">
        <v>0.3333333333333333</v>
      </c>
      <c r="E30" s="43">
        <v>0.4583333333333333</v>
      </c>
      <c r="F30" s="43">
        <v>0.3333333333333333</v>
      </c>
      <c r="G30" s="43">
        <v>0.4583333333333333</v>
      </c>
      <c r="H30" s="96">
        <v>3</v>
      </c>
      <c r="I30" s="23"/>
      <c r="J30" s="23"/>
      <c r="K30" s="24" t="s">
        <v>13</v>
      </c>
      <c r="L30" s="97"/>
      <c r="M30" s="44">
        <f>IF(AND(ISNUMBER(D30),ISNUMBER(E30)),IF(E30&gt;D30,(E30-D30)*24,""),"")</f>
        <v>3.0</v>
      </c>
      <c r="N30" s="45">
        <f>IF(AND(ISNUMBER(F30),ISNUMBER(G30)),IF(G30&gt;F30,(G30-F30)*24,""),"")</f>
        <v>3.0</v>
      </c>
      <c r="O30" s="46">
        <f>IF(J30="X",0,IF(ISNUMBER(H30),H30,IF(ISNUMBER(N30),N30,"")))</f>
        <v>3.0</v>
      </c>
      <c r="P30" s="47">
        <f>IF(AND(ISNUMBER(H30),ISNUMBER(N30)),H30-N30,"")</f>
        <v>0.0</v>
      </c>
      <c r="Q30" s="98" t="s">
        <v>49</v>
      </c>
    </row>
    <row r="31" spans="1:17" ht="18" customHeight="1">
      <c r="A31" s="23">
        <v>18</v>
      </c>
      <c r="B31" s="94">
        <v>46099</v>
      </c>
      <c r="C31" s="95" t="s">
        <v>51</v>
      </c>
      <c r="D31" s="43">
        <v>0.3333333333333333</v>
      </c>
      <c r="E31" s="43">
        <v>0.4583333333333333</v>
      </c>
      <c r="F31" s="43">
        <v>0.3333333333333333</v>
      </c>
      <c r="G31" s="43">
        <v>0.4583333333333333</v>
      </c>
      <c r="H31" s="96">
        <v>3</v>
      </c>
      <c r="I31" s="23"/>
      <c r="J31" s="23"/>
      <c r="K31" s="24" t="s">
        <v>13</v>
      </c>
      <c r="L31" s="97"/>
      <c r="M31" s="44">
        <f>IF(AND(ISNUMBER(D31),ISNUMBER(E31)),IF(E31&gt;D31,(E31-D31)*24,""),"")</f>
        <v>3.0</v>
      </c>
      <c r="N31" s="45">
        <f>IF(AND(ISNUMBER(F31),ISNUMBER(G31)),IF(G31&gt;F31,(G31-F31)*24,""),"")</f>
        <v>3.0</v>
      </c>
      <c r="O31" s="46">
        <f>IF(J31="X",0,IF(ISNUMBER(H31),H31,IF(ISNUMBER(N31),N31,"")))</f>
        <v>3.0</v>
      </c>
      <c r="P31" s="47">
        <f>IF(AND(ISNUMBER(H31),ISNUMBER(N31)),H31-N31,"")</f>
        <v>0.0</v>
      </c>
      <c r="Q31" s="98" t="s">
        <v>49</v>
      </c>
    </row>
    <row r="32" spans="1:17" ht="18" customHeight="1">
      <c r="A32" s="23">
        <v>19</v>
      </c>
      <c r="B32" s="94">
        <v>46100</v>
      </c>
      <c r="C32" s="95" t="s">
        <v>52</v>
      </c>
      <c r="D32" s="43">
        <v>0.3333333333333333</v>
      </c>
      <c r="E32" s="43">
        <v>0.4583333333333333</v>
      </c>
      <c r="F32" s="68" t="s">
        <v>131</v>
      </c>
      <c r="G32" s="68" t="s">
        <v>131</v>
      </c>
      <c r="H32" s="96">
        <v>1.5</v>
      </c>
      <c r="I32" s="23" t="s">
        <v>112</v>
      </c>
      <c r="J32" s="23"/>
      <c r="K32" s="24" t="s">
        <v>13</v>
      </c>
      <c r="L32" s="97"/>
      <c r="M32" s="44">
        <f>IF(AND(ISNUMBER(D32),ISNUMBER(E32)),IF(E32&gt;D32,(E32-D32)*24,""),"")</f>
        <v>3.0</v>
      </c>
      <c r="N32" s="45">
        <f>IF(AND(ISNUMBER(F32),ISNUMBER(G32)),IF(G32&gt;F32,(G32-F32)*24,""),"")</f>
        <v/>
      </c>
      <c r="O32" s="46">
        <f>IF(J32="X",0,IF(ISNUMBER(H32),H32,IF(ISNUMBER(N32),N32,"")))</f>
        <v>1.5</v>
      </c>
      <c r="P32" s="47">
        <f>IF(AND(ISNUMBER(H32),ISNUMBER(N32)),H32-N32,"")</f>
        <v/>
      </c>
      <c r="Q32" s="131" t="s">
        <v>33</v>
      </c>
    </row>
    <row r="33" spans="1:17" ht="18" customHeight="1">
      <c r="A33" s="23">
        <v>20</v>
      </c>
      <c r="B33" s="94">
        <v>46101</v>
      </c>
      <c r="C33" s="95" t="s">
        <v>53</v>
      </c>
      <c r="D33" s="43">
        <v>0.3333333333333333</v>
      </c>
      <c r="E33" s="43">
        <v>0.4583333333333333</v>
      </c>
      <c r="F33" s="43">
        <v>0.3333333333333333</v>
      </c>
      <c r="G33" s="43">
        <v>0.4583333333333333</v>
      </c>
      <c r="H33" s="96">
        <v>3</v>
      </c>
      <c r="I33" s="23"/>
      <c r="J33" s="23"/>
      <c r="K33" s="24" t="s">
        <v>13</v>
      </c>
      <c r="L33" s="97"/>
      <c r="M33" s="44">
        <f>IF(AND(ISNUMBER(D33),ISNUMBER(E33)),IF(E33&gt;D33,(E33-D33)*24,""),"")</f>
        <v>3.0</v>
      </c>
      <c r="N33" s="45">
        <f>IF(AND(ISNUMBER(F33),ISNUMBER(G33)),IF(G33&gt;F33,(G33-F33)*24,""),"")</f>
        <v>3.0</v>
      </c>
      <c r="O33" s="46">
        <f>IF(J33="X",0,IF(ISNUMBER(H33),H33,IF(ISNUMBER(N33),N33,"")))</f>
        <v>3.0</v>
      </c>
      <c r="P33" s="47">
        <f>IF(AND(ISNUMBER(H33),ISNUMBER(N33)),H33-N33,"")</f>
        <v>0.0</v>
      </c>
      <c r="Q33" s="98" t="s">
        <v>49</v>
      </c>
    </row>
    <row r="34" spans="1:17" ht="18" customHeight="1">
      <c r="A34" s="89">
        <v>21</v>
      </c>
      <c r="B34" s="90">
        <v>46102</v>
      </c>
      <c r="C34" s="99" t="s">
        <v>54</v>
      </c>
      <c r="D34" s="57"/>
      <c r="E34" s="57"/>
      <c r="F34" s="57"/>
      <c r="G34" s="57"/>
      <c r="H34" s="89"/>
      <c r="I34" s="89"/>
      <c r="J34" s="89"/>
      <c r="K34" s="57"/>
      <c r="L34" s="92"/>
      <c r="M34" s="59">
        <f>IF(AND(ISNUMBER(D34),ISNUMBER(E34)),IF(E34&gt;D34,(E34-D34)*24,""),"")</f>
        <v/>
      </c>
      <c r="N34" s="60">
        <f>IF(AND(ISNUMBER(F34),ISNUMBER(G34)),IF(G34&gt;F34,(G34-F34)*24,""),"")</f>
        <v/>
      </c>
      <c r="O34" s="61">
        <f>IF(J34="X",0,IF(ISNUMBER(H34),H34,IF(ISNUMBER(N34),N34,"")))</f>
        <v/>
      </c>
      <c r="P34" s="62">
        <f>IF(AND(ISNUMBER(H34),ISNUMBER(N34)),H34-N34,"")</f>
        <v/>
      </c>
      <c r="Q34" s="93" t="s">
        <v>55</v>
      </c>
    </row>
    <row r="35" spans="1:17" ht="18" customHeight="1">
      <c r="A35" s="89">
        <v>22</v>
      </c>
      <c r="B35" s="90">
        <v>46103</v>
      </c>
      <c r="C35" s="91" t="s">
        <v>46</v>
      </c>
      <c r="D35" s="57"/>
      <c r="E35" s="57"/>
      <c r="F35" s="57"/>
      <c r="G35" s="57"/>
      <c r="H35" s="89"/>
      <c r="I35" s="89"/>
      <c r="J35" s="89"/>
      <c r="K35" s="57"/>
      <c r="L35" s="92"/>
      <c r="M35" s="59">
        <f>IF(AND(ISNUMBER(D35),ISNUMBER(E35)),IF(E35&gt;D35,(E35-D35)*24,""),"")</f>
        <v/>
      </c>
      <c r="N35" s="60">
        <f>IF(AND(ISNUMBER(F35),ISNUMBER(G35)),IF(G35&gt;F35,(G35-F35)*24,""),"")</f>
        <v/>
      </c>
      <c r="O35" s="61">
        <f>IF(J35="X",0,IF(ISNUMBER(H35),H35,IF(ISNUMBER(N35),N35,"")))</f>
        <v/>
      </c>
      <c r="P35" s="62">
        <f>IF(AND(ISNUMBER(H35),ISNUMBER(N35)),H35-N35,"")</f>
        <v/>
      </c>
      <c r="Q35" s="93" t="s">
        <v>47</v>
      </c>
    </row>
    <row r="36" spans="1:17" ht="18" customHeight="1">
      <c r="A36" s="23">
        <v>23</v>
      </c>
      <c r="B36" s="94">
        <v>46104</v>
      </c>
      <c r="C36" s="95" t="s">
        <v>48</v>
      </c>
      <c r="D36" s="43">
        <v>0.3333333333333333</v>
      </c>
      <c r="E36" s="71">
        <v>0.4583333333333333</v>
      </c>
      <c r="F36" s="43">
        <v>0.3333333333333333</v>
      </c>
      <c r="G36" s="43">
        <v>0.4583333333333333</v>
      </c>
      <c r="H36" s="96">
        <v>3</v>
      </c>
      <c r="I36" s="23"/>
      <c r="J36" s="23"/>
      <c r="K36" s="24" t="s">
        <v>13</v>
      </c>
      <c r="L36" s="97"/>
      <c r="M36" s="44">
        <f>IF(AND(ISNUMBER(D36),ISNUMBER(E36)),IF(E36&gt;D36,(E36-D36)*24,""),"")</f>
        <v>3.0</v>
      </c>
      <c r="N36" s="45">
        <f>IF(AND(ISNUMBER(F36),ISNUMBER(G36)),IF(G36&gt;F36,(G36-F36)*24,""),"")</f>
        <v>3.0</v>
      </c>
      <c r="O36" s="46">
        <f>IF(J36="X",0,IF(ISNUMBER(H36),H36,IF(ISNUMBER(N36),N36,"")))</f>
        <v>3.0</v>
      </c>
      <c r="P36" s="47">
        <f>IF(AND(ISNUMBER(H36),ISNUMBER(N36)),H36-N36,"")</f>
        <v>0.0</v>
      </c>
      <c r="Q36" s="145" t="s">
        <v>157</v>
      </c>
    </row>
    <row r="37" spans="1:17" ht="18" customHeight="1">
      <c r="A37" s="23">
        <v>24</v>
      </c>
      <c r="B37" s="94">
        <v>46105</v>
      </c>
      <c r="C37" s="95" t="s">
        <v>50</v>
      </c>
      <c r="D37" s="43">
        <v>0.3333333333333333</v>
      </c>
      <c r="E37" s="43">
        <v>0.4583333333333333</v>
      </c>
      <c r="F37" s="43">
        <v>0.3333333333333333</v>
      </c>
      <c r="G37" s="43">
        <v>0.4583333333333333</v>
      </c>
      <c r="H37" s="96">
        <v>3</v>
      </c>
      <c r="I37" s="23"/>
      <c r="J37" s="23"/>
      <c r="K37" s="24" t="s">
        <v>13</v>
      </c>
      <c r="L37" s="97"/>
      <c r="M37" s="44">
        <f>IF(AND(ISNUMBER(D37),ISNUMBER(E37)),IF(E37&gt;D37,(E37-D37)*24,""),"")</f>
        <v>3.0</v>
      </c>
      <c r="N37" s="45">
        <f>IF(AND(ISNUMBER(F37),ISNUMBER(G37)),IF(G37&gt;F37,(G37-F37)*24,""),"")</f>
        <v>3.0</v>
      </c>
      <c r="O37" s="46">
        <f>IF(J37="X",0,IF(ISNUMBER(H37),H37,IF(ISNUMBER(N37),N37,"")))</f>
        <v>3.0</v>
      </c>
      <c r="P37" s="47">
        <f>IF(AND(ISNUMBER(H37),ISNUMBER(N37)),H37-N37,"")</f>
        <v>0.0</v>
      </c>
      <c r="Q37" s="98" t="s">
        <v>49</v>
      </c>
    </row>
    <row r="38" spans="1:17" ht="18" customHeight="1">
      <c r="A38" s="23">
        <v>25</v>
      </c>
      <c r="B38" s="94">
        <v>46106</v>
      </c>
      <c r="C38" s="95" t="s">
        <v>51</v>
      </c>
      <c r="D38" s="43">
        <v>0.3333333333333333</v>
      </c>
      <c r="E38" s="43">
        <v>0.4583333333333333</v>
      </c>
      <c r="F38" s="43">
        <v>0.3333333333333333</v>
      </c>
      <c r="G38" s="43">
        <v>0.4583333333333333</v>
      </c>
      <c r="H38" s="96">
        <v>3</v>
      </c>
      <c r="I38" s="23"/>
      <c r="J38" s="23"/>
      <c r="K38" s="72" t="s">
        <v>107</v>
      </c>
      <c r="L38" s="97"/>
      <c r="M38" s="44">
        <f>IF(AND(ISNUMBER(D38),ISNUMBER(E38)),IF(E38&gt;D38,(E38-D38)*24,""),"")</f>
        <v>3.0</v>
      </c>
      <c r="N38" s="45">
        <f>IF(AND(ISNUMBER(F38),ISNUMBER(G38)),IF(G38&gt;F38,(G38-F38)*24,""),"")</f>
        <v>3.0</v>
      </c>
      <c r="O38" s="46">
        <f>IF(J38="X",0,IF(ISNUMBER(H38),H38,IF(ISNUMBER(N38),N38,"")))</f>
        <v>3.0</v>
      </c>
      <c r="P38" s="47">
        <f>IF(AND(ISNUMBER(H38),ISNUMBER(N38)),H38-N38,"")</f>
        <v>0.0</v>
      </c>
      <c r="Q38" s="145" t="s">
        <v>158</v>
      </c>
    </row>
    <row r="39" spans="1:17" ht="18" customHeight="1">
      <c r="A39" s="23">
        <v>26</v>
      </c>
      <c r="B39" s="94">
        <v>46107</v>
      </c>
      <c r="C39" s="95" t="s">
        <v>52</v>
      </c>
      <c r="D39" s="43">
        <v>0.3333333333333333</v>
      </c>
      <c r="E39" s="43">
        <v>0.4583333333333333</v>
      </c>
      <c r="F39" s="43">
        <v>0.3333333333333333</v>
      </c>
      <c r="G39" s="43">
        <v>0.4583333333333333</v>
      </c>
      <c r="H39" s="96">
        <v>3</v>
      </c>
      <c r="I39" s="23"/>
      <c r="J39" s="23"/>
      <c r="K39" s="24" t="s">
        <v>13</v>
      </c>
      <c r="L39" s="97"/>
      <c r="M39" s="44">
        <f>IF(AND(ISNUMBER(D39),ISNUMBER(E39)),IF(E39&gt;D39,(E39-D39)*24,""),"")</f>
        <v>3.0</v>
      </c>
      <c r="N39" s="45">
        <f>IF(AND(ISNUMBER(F39),ISNUMBER(G39)),IF(G39&gt;F39,(G39-F39)*24,""),"")</f>
        <v>3.0</v>
      </c>
      <c r="O39" s="46">
        <f>IF(J39="X",0,IF(ISNUMBER(H39),H39,IF(ISNUMBER(N39),N39,"")))</f>
        <v>3.0</v>
      </c>
      <c r="P39" s="47">
        <f>IF(AND(ISNUMBER(H39),ISNUMBER(N39)),H39-N39,"")</f>
        <v>0.0</v>
      </c>
      <c r="Q39" s="98" t="s">
        <v>49</v>
      </c>
    </row>
    <row r="40" spans="1:17" ht="18" customHeight="1">
      <c r="A40" s="23">
        <v>27</v>
      </c>
      <c r="B40" s="94">
        <v>46108</v>
      </c>
      <c r="C40" s="95" t="s">
        <v>53</v>
      </c>
      <c r="D40" s="43">
        <v>0.3333333333333333</v>
      </c>
      <c r="E40" s="43">
        <v>0.4583333333333333</v>
      </c>
      <c r="F40" s="43">
        <v>0.3333333333333333</v>
      </c>
      <c r="G40" s="43">
        <v>0.4583333333333333</v>
      </c>
      <c r="H40" s="96">
        <v>3</v>
      </c>
      <c r="I40" s="23"/>
      <c r="J40" s="23"/>
      <c r="K40" s="24" t="s">
        <v>13</v>
      </c>
      <c r="L40" s="97"/>
      <c r="M40" s="44">
        <f>IF(AND(ISNUMBER(D40),ISNUMBER(E40)),IF(E40&gt;D40,(E40-D40)*24,""),"")</f>
        <v>3.0</v>
      </c>
      <c r="N40" s="45">
        <f>IF(AND(ISNUMBER(F40),ISNUMBER(G40)),IF(G40&gt;F40,(G40-F40)*24,""),"")</f>
        <v>3.0</v>
      </c>
      <c r="O40" s="46">
        <f>IF(J40="X",0,IF(ISNUMBER(H40),H40,IF(ISNUMBER(N40),N40,"")))</f>
        <v>3.0</v>
      </c>
      <c r="P40" s="47">
        <f>IF(AND(ISNUMBER(H40),ISNUMBER(N40)),H40-N40,"")</f>
        <v>0.0</v>
      </c>
      <c r="Q40" s="98" t="s">
        <v>49</v>
      </c>
    </row>
    <row r="41" spans="1:17" ht="18" customHeight="1">
      <c r="A41" s="89">
        <v>28</v>
      </c>
      <c r="B41" s="90">
        <v>46109</v>
      </c>
      <c r="C41" s="99" t="s">
        <v>54</v>
      </c>
      <c r="D41" s="57"/>
      <c r="E41" s="57"/>
      <c r="F41" s="57"/>
      <c r="G41" s="57"/>
      <c r="H41" s="89"/>
      <c r="I41" s="89"/>
      <c r="J41" s="89"/>
      <c r="K41" s="57"/>
      <c r="L41" s="92"/>
      <c r="M41" s="59">
        <f>IF(AND(ISNUMBER(D41),ISNUMBER(E41)),IF(E41&gt;D41,(E41-D41)*24,""),"")</f>
        <v/>
      </c>
      <c r="N41" s="60">
        <f>IF(AND(ISNUMBER(F41),ISNUMBER(G41)),IF(G41&gt;F41,(G41-F41)*24,""),"")</f>
        <v/>
      </c>
      <c r="O41" s="61">
        <f>IF(J41="X",0,IF(ISNUMBER(H41),H41,IF(ISNUMBER(N41),N41,"")))</f>
        <v/>
      </c>
      <c r="P41" s="62">
        <f>IF(AND(ISNUMBER(H41),ISNUMBER(N41)),H41-N41,"")</f>
        <v/>
      </c>
      <c r="Q41" s="93" t="s">
        <v>55</v>
      </c>
    </row>
    <row r="42" spans="1:17" ht="18" customHeight="1">
      <c r="A42" s="89">
        <v>29</v>
      </c>
      <c r="B42" s="90">
        <v>46110</v>
      </c>
      <c r="C42" s="91" t="s">
        <v>46</v>
      </c>
      <c r="D42" s="57"/>
      <c r="E42" s="57"/>
      <c r="F42" s="57"/>
      <c r="G42" s="57"/>
      <c r="H42" s="89"/>
      <c r="I42" s="89"/>
      <c r="J42" s="89"/>
      <c r="K42" s="57"/>
      <c r="L42" s="92"/>
      <c r="M42" s="59">
        <f>IF(AND(ISNUMBER(D42),ISNUMBER(E42)),IF(E42&gt;D42,(E42-D42)*24,""),"")</f>
        <v/>
      </c>
      <c r="N42" s="60">
        <f>IF(AND(ISNUMBER(F42),ISNUMBER(G42)),IF(G42&gt;F42,(G42-F42)*24,""),"")</f>
        <v/>
      </c>
      <c r="O42" s="61">
        <f>IF(J42="X",0,IF(ISNUMBER(H42),H42,IF(ISNUMBER(N42),N42,"")))</f>
        <v/>
      </c>
      <c r="P42" s="62">
        <f>IF(AND(ISNUMBER(H42),ISNUMBER(N42)),H42-N42,"")</f>
        <v/>
      </c>
      <c r="Q42" s="93" t="s">
        <v>47</v>
      </c>
    </row>
    <row r="43" spans="1:17" ht="18" customHeight="1">
      <c r="A43" s="23">
        <v>30</v>
      </c>
      <c r="B43" s="94">
        <v>46111</v>
      </c>
      <c r="C43" s="95" t="s">
        <v>48</v>
      </c>
      <c r="D43" s="43">
        <v>0.3333333333333333</v>
      </c>
      <c r="E43" s="43">
        <v>0.4583333333333333</v>
      </c>
      <c r="F43" s="43">
        <v>0.3333333333333333</v>
      </c>
      <c r="G43" s="43">
        <v>0.4583333333333333</v>
      </c>
      <c r="H43" s="96">
        <v>3</v>
      </c>
      <c r="I43" s="23"/>
      <c r="J43" s="23"/>
      <c r="K43" s="24" t="s">
        <v>13</v>
      </c>
      <c r="L43" s="97"/>
      <c r="M43" s="44">
        <f>IF(AND(ISNUMBER(D43),ISNUMBER(E43)),IF(E43&gt;D43,(E43-D43)*24,""),"")</f>
        <v>3.0</v>
      </c>
      <c r="N43" s="45">
        <f>IF(AND(ISNUMBER(F43),ISNUMBER(G43)),IF(G43&gt;F43,(G43-F43)*24,""),"")</f>
        <v>3.0</v>
      </c>
      <c r="O43" s="46">
        <f>IF(J43="X",0,IF(ISNUMBER(H43),H43,IF(ISNUMBER(N43),N43,"")))</f>
        <v>3.0</v>
      </c>
      <c r="P43" s="47">
        <f>IF(AND(ISNUMBER(H43),ISNUMBER(N43)),H43-N43,"")</f>
        <v>0.0</v>
      </c>
      <c r="Q43" s="98" t="s">
        <v>49</v>
      </c>
    </row>
    <row r="44" spans="1:17" ht="18" customHeight="1">
      <c r="A44" s="23">
        <v>31</v>
      </c>
      <c r="B44" s="94">
        <v>46112</v>
      </c>
      <c r="C44" s="95" t="s">
        <v>50</v>
      </c>
      <c r="D44" s="43">
        <v>0.3333333333333333</v>
      </c>
      <c r="E44" s="43">
        <v>0.4583333333333333</v>
      </c>
      <c r="F44" s="43">
        <v>0.3333333333333333</v>
      </c>
      <c r="G44" s="43">
        <v>0.4583333333333333</v>
      </c>
      <c r="H44" s="96">
        <v>3</v>
      </c>
      <c r="I44" s="23"/>
      <c r="J44" s="23"/>
      <c r="K44" s="24" t="s">
        <v>13</v>
      </c>
      <c r="L44" s="97"/>
      <c r="M44" s="44">
        <f>IF(AND(ISNUMBER(D44),ISNUMBER(E44)),IF(E44&gt;D44,(E44-D44)*24,""),"")</f>
        <v>3.0</v>
      </c>
      <c r="N44" s="45">
        <f>IF(AND(ISNUMBER(F44),ISNUMBER(G44)),IF(G44&gt;F44,(G44-F44)*24,""),"")</f>
        <v>3.0</v>
      </c>
      <c r="O44" s="46">
        <f>IF(J44="X",0,IF(ISNUMBER(H44),H44,IF(ISNUMBER(N44),N44,"")))</f>
        <v>3.0</v>
      </c>
      <c r="P44" s="47">
        <f>IF(AND(ISNUMBER(H44),ISNUMBER(N44)),H44-N44,"")</f>
        <v>0.0</v>
      </c>
      <c r="Q44" s="98" t="s">
        <v>49</v>
      </c>
    </row>
    <row r="45" spans="1:17" ht="24" customHeight="1">
      <c r="A45" s="102" t="s">
        <v>57</v>
      </c>
      <c r="B45" s="102"/>
      <c r="C45" s="102"/>
      <c r="D45" s="102"/>
      <c r="E45" s="102"/>
      <c r="F45" s="102"/>
      <c r="G45" s="102"/>
      <c r="H45" s="103">
        <f>SUM(H14:H44)</f>
        <v>64.5</v>
      </c>
      <c r="I45" s="31">
        <f>COUNTIF(I14:I44,"X")</f>
        <v>1.0</v>
      </c>
      <c r="J45" s="31">
        <f>COUNTIF(J14:J44,"X")</f>
        <v>0.0</v>
      </c>
      <c r="K45" s="31">
        <f>COUNTIF(K14:K44,"Sì")</f>
        <v>21.0</v>
      </c>
      <c r="L45" s="104"/>
      <c r="M45" s="103">
        <f>SUM(M14:M44)</f>
        <v>66.0</v>
      </c>
      <c r="N45" s="103">
        <f>SUM(N14:N44)</f>
        <v>62.5</v>
      </c>
      <c r="O45" s="105">
        <f>SUM(O14:O44)</f>
        <v>64.5</v>
      </c>
      <c r="P45" s="104"/>
      <c r="Q45" s="104"/>
    </row>
    <row r="47" spans="1:17" ht="26" customHeight="1">
      <c r="A47" s="106" t="s">
        <v>58</v>
      </c>
      <c r="B47" s="106"/>
      <c r="C47" s="106"/>
      <c r="D47" s="106"/>
      <c r="E47" s="106"/>
      <c r="F47" s="106"/>
      <c r="G47" s="106"/>
      <c r="H47" s="106"/>
      <c r="I47" s="106"/>
      <c r="J47" s="106"/>
      <c r="L47" s="106" t="s">
        <v>59</v>
      </c>
      <c r="M47" s="106"/>
      <c r="N47" s="106"/>
      <c r="O47" s="106"/>
      <c r="P47" s="106"/>
      <c r="Q47" s="106"/>
    </row>
    <row r="48" spans="1:17" ht="30" customHeight="1">
      <c r="A48" s="107" t="s">
        <v>60</v>
      </c>
      <c r="B48" s="107"/>
      <c r="C48" s="107"/>
      <c r="D48" s="107"/>
      <c r="E48" s="107"/>
      <c r="F48" s="107"/>
      <c r="G48" s="107"/>
      <c r="H48" s="108">
        <v>64</v>
      </c>
      <c r="I48" s="108"/>
      <c r="J48" s="108"/>
      <c r="L48" s="11" t="s">
        <v>68</v>
      </c>
      <c r="M48" s="11" t="s">
        <v>43</v>
      </c>
      <c r="N48" s="11" t="s">
        <v>69</v>
      </c>
      <c r="O48" s="11" t="s">
        <v>70</v>
      </c>
      <c r="P48" s="11" t="s">
        <v>71</v>
      </c>
      <c r="Q48" s="11" t="s">
        <v>72</v>
      </c>
    </row>
    <row r="49" spans="1:17" ht="20" customHeight="1">
      <c r="A49" s="107" t="s">
        <v>61</v>
      </c>
      <c r="B49" s="107"/>
      <c r="C49" s="107"/>
      <c r="D49" s="107"/>
      <c r="E49" s="107"/>
      <c r="F49" s="107"/>
      <c r="G49" s="107"/>
      <c r="H49" s="109">
        <f>H45</f>
        <v>64.5</v>
      </c>
      <c r="I49" s="109"/>
      <c r="J49" s="109"/>
      <c r="L49" s="110" t="s">
        <v>73</v>
      </c>
      <c r="M49" s="96">
        <f>SUM(O14:O14)</f>
        <v>0.0</v>
      </c>
      <c r="N49" s="44">
        <v>0</v>
      </c>
      <c r="O49" s="44">
        <f>IF(ISNUMBER($L$6),$L$6,"")</f>
        <v>15.0</v>
      </c>
      <c r="P49" s="111">
        <f>IF(ISNUMBER(N49),M49-N49,"")</f>
        <v>0.0</v>
      </c>
      <c r="Q49" s="110" t="str">
        <f>IF(NOT(ISNUMBER(O49)),"Ore PEI non indicate",IF(M49&gt;O49+0.01,"Oltre il limite PEI","Entro il limite PEI"))</f>
        <v>Entro il limite PEI</v>
      </c>
    </row>
    <row r="50" spans="1:17" ht="20" customHeight="1">
      <c r="A50" s="107" t="s">
        <v>62</v>
      </c>
      <c r="B50" s="107"/>
      <c r="C50" s="107"/>
      <c r="D50" s="107"/>
      <c r="E50" s="107"/>
      <c r="F50" s="107"/>
      <c r="G50" s="107"/>
      <c r="H50" s="112">
        <f>IF(ISNUMBER(H48),H49-H48,"")</f>
        <v>0.5</v>
      </c>
      <c r="I50" s="112"/>
      <c r="J50" s="112"/>
      <c r="L50" s="110" t="s">
        <v>74</v>
      </c>
      <c r="M50" s="96">
        <f>SUM(O15:O21)</f>
        <v>15.0</v>
      </c>
      <c r="N50" s="44">
        <v>15</v>
      </c>
      <c r="O50" s="44">
        <f>IF(ISNUMBER($L$6),$L$6,"")</f>
        <v>15.0</v>
      </c>
      <c r="P50" s="111">
        <f>IF(ISNUMBER(N50),M50-N50,"")</f>
        <v>0.0</v>
      </c>
      <c r="Q50" s="110" t="str">
        <f>IF(NOT(ISNUMBER(O50)),"Ore PEI non indicate",IF(M50&gt;O50+0.01,"Oltre il limite PEI","Entro il limite PEI"))</f>
        <v>Entro il limite PEI</v>
      </c>
    </row>
    <row r="51" spans="1:17" ht="20" customHeight="1">
      <c r="A51" s="107" t="s">
        <v>63</v>
      </c>
      <c r="B51" s="107"/>
      <c r="C51" s="107"/>
      <c r="D51" s="107"/>
      <c r="E51" s="107"/>
      <c r="F51" s="107"/>
      <c r="G51" s="107"/>
      <c r="H51" s="113" t="str">
        <f>IF(ISNUMBER(H48),IF(ABS(H50)&lt;=0.01,"Corrisponde","Non corrisponde"),IF(ISBLANK(H48),"Totale non indicato","Totale non leggibile"))</f>
        <v>Non corrisponde</v>
      </c>
      <c r="I51" s="113"/>
      <c r="J51" s="113"/>
      <c r="L51" s="110" t="s">
        <v>75</v>
      </c>
      <c r="M51" s="96">
        <f>SUM(O22:O28)</f>
        <v>15.0</v>
      </c>
      <c r="N51" s="44">
        <v>15</v>
      </c>
      <c r="O51" s="44">
        <f>IF(ISNUMBER($L$6),$L$6,"")</f>
        <v>15.0</v>
      </c>
      <c r="P51" s="111">
        <f>IF(ISNUMBER(N51),M51-N51,"")</f>
        <v>0.0</v>
      </c>
      <c r="Q51" s="110" t="str">
        <f>IF(NOT(ISNUMBER(O51)),"Ore PEI non indicate",IF(M51&gt;O51+0.01,"Oltre il limite PEI","Entro il limite PEI"))</f>
        <v>Entro il limite PEI</v>
      </c>
    </row>
    <row r="52" spans="1:17" ht="20" customHeight="1">
      <c r="A52" s="107" t="s">
        <v>41</v>
      </c>
      <c r="B52" s="107"/>
      <c r="C52" s="107"/>
      <c r="D52" s="107"/>
      <c r="E52" s="107"/>
      <c r="F52" s="107"/>
      <c r="G52" s="107"/>
      <c r="H52" s="109">
        <f>M45</f>
        <v>66.0</v>
      </c>
      <c r="I52" s="109"/>
      <c r="J52" s="109"/>
      <c r="L52" s="110" t="s">
        <v>76</v>
      </c>
      <c r="M52" s="96">
        <f>SUM(O29:O35)</f>
        <v>13.5</v>
      </c>
      <c r="N52" s="44">
        <v>15</v>
      </c>
      <c r="O52" s="44">
        <f>IF(ISNUMBER($L$6),$L$6,"")</f>
        <v>15.0</v>
      </c>
      <c r="P52" s="111">
        <f>IF(ISNUMBER(N52),M52-N52,"")</f>
        <v>-1.5</v>
      </c>
      <c r="Q52" s="110" t="str">
        <f>IF(NOT(ISNUMBER(O52)),"Ore PEI non indicate",IF(M52&gt;O52+0.01,"Oltre il limite PEI","Entro il limite PEI"))</f>
        <v>Entro il limite PEI</v>
      </c>
    </row>
    <row r="53" spans="1:17" ht="20" customHeight="1">
      <c r="A53" s="107" t="s">
        <v>64</v>
      </c>
      <c r="B53" s="107"/>
      <c r="C53" s="107"/>
      <c r="D53" s="107"/>
      <c r="E53" s="107"/>
      <c r="F53" s="107"/>
      <c r="G53" s="107"/>
      <c r="H53" s="109">
        <f>N45</f>
        <v>62.5</v>
      </c>
      <c r="I53" s="109"/>
      <c r="J53" s="109"/>
      <c r="L53" s="110" t="s">
        <v>77</v>
      </c>
      <c r="M53" s="96">
        <f>SUM(O36:O42)</f>
        <v>15.0</v>
      </c>
      <c r="N53" s="44">
        <v>15</v>
      </c>
      <c r="O53" s="44">
        <f>IF(ISNUMBER($L$6),$L$6,"")</f>
        <v>15.0</v>
      </c>
      <c r="P53" s="111">
        <f>IF(ISNUMBER(N53),M53-N53,"")</f>
        <v>0.0</v>
      </c>
      <c r="Q53" s="110" t="str">
        <f>IF(NOT(ISNUMBER(O53)),"Ore PEI non indicate",IF(M53&gt;O53+0.01,"Oltre il limite PEI","Entro il limite PEI"))</f>
        <v>Entro il limite PEI</v>
      </c>
    </row>
    <row r="54" spans="1:17" ht="20" customHeight="1">
      <c r="A54" s="107" t="s">
        <v>43</v>
      </c>
      <c r="B54" s="107"/>
      <c r="C54" s="107"/>
      <c r="D54" s="107"/>
      <c r="E54" s="107"/>
      <c r="F54" s="107"/>
      <c r="G54" s="107"/>
      <c r="H54" s="114">
        <f>O45</f>
        <v>64.5</v>
      </c>
      <c r="I54" s="114"/>
      <c r="J54" s="114"/>
      <c r="L54" s="110" t="s">
        <v>78</v>
      </c>
      <c r="M54" s="96">
        <f>SUM(O43:O44)</f>
        <v>6.0</v>
      </c>
      <c r="N54" s="44">
        <v>6</v>
      </c>
      <c r="O54" s="44">
        <f>IF(ISNUMBER($L$6),$L$6,"")</f>
        <v>15.0</v>
      </c>
      <c r="P54" s="111">
        <f>IF(ISNUMBER(N54),M54-N54,"")</f>
        <v>0.0</v>
      </c>
      <c r="Q54" s="110" t="str">
        <f>IF(NOT(ISNUMBER(O54)),"Ore PEI non indicate",IF(M54&gt;O54+0.01,"Oltre il limite PEI","Entro il limite PEI"))</f>
        <v>Entro il limite PEI</v>
      </c>
    </row>
    <row r="55" spans="1:17" ht="22" customHeight="1">
      <c r="A55" s="107" t="s">
        <v>65</v>
      </c>
      <c r="B55" s="107"/>
      <c r="C55" s="107"/>
      <c r="D55" s="107"/>
      <c r="E55" s="107"/>
      <c r="F55" s="107"/>
      <c r="G55" s="107"/>
      <c r="H55" s="115">
        <f>COUNTIF(O14:O44,"&gt;0")</f>
        <v>22.0</v>
      </c>
      <c r="I55" s="115"/>
      <c r="J55" s="115"/>
      <c r="L55" s="116" t="s">
        <v>79</v>
      </c>
      <c r="M55" s="103">
        <f>SUM(M49:M54)</f>
        <v>64.5</v>
      </c>
      <c r="N55" s="103">
        <f>SUM(N49:N54)</f>
        <v>66.0</v>
      </c>
      <c r="O55" s="104"/>
      <c r="P55" s="117">
        <f>IF(ISNUMBER(N55),M55-N55,"")</f>
        <v>-1.5</v>
      </c>
      <c r="Q55" s="104"/>
    </row>
    <row r="56" spans="1:17" ht="20" customHeight="1">
      <c r="A56" s="107" t="s">
        <v>66</v>
      </c>
      <c r="B56" s="107"/>
      <c r="C56" s="107"/>
      <c r="D56" s="107"/>
      <c r="E56" s="107"/>
      <c r="F56" s="107"/>
      <c r="G56" s="107"/>
      <c r="H56" s="115">
        <f>I45</f>
        <v>1.0</v>
      </c>
      <c r="I56" s="115"/>
      <c r="J56" s="115"/>
      <c r="L56" s="118" t="s">
        <v>80</v>
      </c>
      <c r="M56" s="118"/>
      <c r="N56" s="118"/>
      <c r="O56" s="118"/>
      <c r="P56" s="118"/>
      <c r="Q56" s="118"/>
    </row>
    <row r="57" spans="1:17" ht="20" customHeight="1">
      <c r="A57" s="107" t="s">
        <v>67</v>
      </c>
      <c r="B57" s="107"/>
      <c r="C57" s="107"/>
      <c r="D57" s="107"/>
      <c r="E57" s="107"/>
      <c r="F57" s="107"/>
      <c r="G57" s="107"/>
      <c r="H57" s="115">
        <f>J45</f>
        <v>0.0</v>
      </c>
      <c r="I57" s="115"/>
      <c r="J57" s="115"/>
    </row>
    <row r="59" spans="1:17" ht="26" customHeight="1">
      <c r="A59" s="106" t="s">
        <v>137</v>
      </c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</row>
    <row r="60" spans="1:17" ht="20" customHeight="1">
      <c r="A60" s="11" t="s">
        <v>82</v>
      </c>
      <c r="B60" s="11"/>
      <c r="C60" s="11" t="s">
        <v>29</v>
      </c>
      <c r="D60" s="11" t="s">
        <v>83</v>
      </c>
      <c r="E60" s="11"/>
      <c r="F60" s="11"/>
      <c r="G60" s="11"/>
      <c r="H60" s="11" t="s">
        <v>84</v>
      </c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8.2" customHeight="1">
      <c r="A61" s="146" t="s">
        <v>142</v>
      </c>
      <c r="B61" s="146"/>
      <c r="C61" s="24"/>
      <c r="D61" s="120" t="s">
        <v>159</v>
      </c>
      <c r="E61" s="120"/>
      <c r="F61" s="120"/>
      <c r="G61" s="120"/>
      <c r="H61" s="121" t="s">
        <v>160</v>
      </c>
      <c r="I61" s="121"/>
      <c r="J61" s="121"/>
      <c r="K61" s="121"/>
      <c r="L61" s="121"/>
      <c r="M61" s="121"/>
      <c r="N61" s="121"/>
      <c r="O61" s="121"/>
      <c r="P61" s="121"/>
      <c r="Q61" s="121"/>
    </row>
    <row r="62" spans="1:17" ht="18.2" customHeight="1">
      <c r="A62" s="146" t="s">
        <v>142</v>
      </c>
      <c r="B62" s="146"/>
      <c r="C62" s="37">
        <v>11</v>
      </c>
      <c r="D62" s="120" t="s">
        <v>162</v>
      </c>
      <c r="E62" s="120"/>
      <c r="F62" s="120"/>
      <c r="G62" s="120"/>
      <c r="H62" s="121" t="s">
        <v>163</v>
      </c>
      <c r="I62" s="121"/>
      <c r="J62" s="121"/>
      <c r="K62" s="121"/>
      <c r="L62" s="121"/>
      <c r="M62" s="121"/>
      <c r="N62" s="121"/>
      <c r="O62" s="121"/>
      <c r="P62" s="121"/>
      <c r="Q62" s="121"/>
    </row>
    <row r="63" spans="1:17" ht="18.2" customHeight="1">
      <c r="A63" s="122" t="s">
        <v>93</v>
      </c>
      <c r="B63" s="122"/>
      <c r="C63" s="37">
        <v>11</v>
      </c>
      <c r="D63" s="120" t="s">
        <v>100</v>
      </c>
      <c r="E63" s="120"/>
      <c r="F63" s="120"/>
      <c r="G63" s="120"/>
      <c r="H63" s="121" t="s">
        <v>164</v>
      </c>
      <c r="I63" s="121"/>
      <c r="J63" s="121"/>
      <c r="K63" s="121"/>
      <c r="L63" s="121"/>
      <c r="M63" s="121"/>
      <c r="N63" s="121"/>
      <c r="O63" s="121"/>
      <c r="P63" s="121"/>
      <c r="Q63" s="121"/>
    </row>
    <row r="64" spans="1:17" ht="18.2" customHeight="1">
      <c r="A64" s="122" t="s">
        <v>93</v>
      </c>
      <c r="B64" s="122"/>
      <c r="C64" s="37">
        <v>19</v>
      </c>
      <c r="D64" s="120" t="s">
        <v>140</v>
      </c>
      <c r="E64" s="120"/>
      <c r="F64" s="120"/>
      <c r="G64" s="120"/>
      <c r="H64" s="121" t="s">
        <v>166</v>
      </c>
      <c r="I64" s="121"/>
      <c r="J64" s="121"/>
      <c r="K64" s="121"/>
      <c r="L64" s="121"/>
      <c r="M64" s="121"/>
      <c r="N64" s="121"/>
      <c r="O64" s="121"/>
      <c r="P64" s="121"/>
      <c r="Q64" s="121"/>
    </row>
    <row r="65" spans="1:17" ht="18.2" customHeight="1">
      <c r="A65" s="119" t="s">
        <v>85</v>
      </c>
      <c r="B65" s="119"/>
      <c r="C65" s="37">
        <v>23</v>
      </c>
      <c r="D65" s="120" t="s">
        <v>86</v>
      </c>
      <c r="E65" s="120"/>
      <c r="F65" s="120"/>
      <c r="G65" s="120"/>
      <c r="H65" s="121" t="s">
        <v>168</v>
      </c>
      <c r="I65" s="121"/>
      <c r="J65" s="121"/>
      <c r="K65" s="121"/>
      <c r="L65" s="121"/>
      <c r="M65" s="121"/>
      <c r="N65" s="121"/>
      <c r="O65" s="121"/>
      <c r="P65" s="121"/>
      <c r="Q65" s="121"/>
    </row>
    <row r="66" spans="1:17" ht="18.2" customHeight="1">
      <c r="A66" s="119" t="s">
        <v>85</v>
      </c>
      <c r="B66" s="119"/>
      <c r="C66" s="37">
        <v>25</v>
      </c>
      <c r="D66" s="120" t="s">
        <v>170</v>
      </c>
      <c r="E66" s="120"/>
      <c r="F66" s="120"/>
      <c r="G66" s="120"/>
      <c r="H66" s="121" t="s">
        <v>171</v>
      </c>
      <c r="I66" s="121"/>
      <c r="J66" s="121"/>
      <c r="K66" s="121"/>
      <c r="L66" s="121"/>
      <c r="M66" s="121"/>
      <c r="N66" s="121"/>
      <c r="O66" s="121"/>
      <c r="P66" s="121"/>
      <c r="Q66" s="121"/>
    </row>
    <row r="68" spans="1:17" ht="17" customHeight="1">
      <c r="A68" s="123" t="s">
        <v>172</v>
      </c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</row>
    <row r="69" spans="1:17" ht="18" customHeight="1">
      <c r="A69" s="123" t="s">
        <v>103</v>
      </c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</row>
    <row r="70" spans="1:17" ht="18" customHeight="1">
      <c r="A70" s="124" t="s">
        <v>3</v>
      </c>
    </row>
  </sheetData>
  <mergeCells count="95">
    <mergeCell ref="A1:P1"/>
    <mergeCell ref="A2:Q2"/>
    <mergeCell ref="A5:C5"/>
    <mergeCell ref="D5:H5"/>
    <mergeCell ref="I5:K5"/>
    <mergeCell ref="L5:N5"/>
    <mergeCell ref="A6:C6"/>
    <mergeCell ref="D6:H6"/>
    <mergeCell ref="I6:K6"/>
    <mergeCell ref="L6:N6"/>
    <mergeCell ref="A7:C7"/>
    <mergeCell ref="D7:H7"/>
    <mergeCell ref="I7:K7"/>
    <mergeCell ref="L7:N7"/>
    <mergeCell ref="A8:C8"/>
    <mergeCell ref="D8:H8"/>
    <mergeCell ref="I8:K8"/>
    <mergeCell ref="L8:N8"/>
    <mergeCell ref="A9:C9"/>
    <mergeCell ref="D9:H9"/>
    <mergeCell ref="I9:K9"/>
    <mergeCell ref="L9:N9"/>
    <mergeCell ref="A10:C10"/>
    <mergeCell ref="D10:H10"/>
    <mergeCell ref="I10:K10"/>
    <mergeCell ref="L10:N10"/>
    <mergeCell ref="O5:Q5"/>
    <mergeCell ref="O6:Q7"/>
    <mergeCell ref="O8:Q8"/>
    <mergeCell ref="O9:Q9"/>
    <mergeCell ref="O10:Q10"/>
    <mergeCell ref="M11:Q11"/>
    <mergeCell ref="A12:A13"/>
    <mergeCell ref="B12:B13"/>
    <mergeCell ref="C12:C13"/>
    <mergeCell ref="H12:H13"/>
    <mergeCell ref="I12:I13"/>
    <mergeCell ref="J12:J13"/>
    <mergeCell ref="K12:K13"/>
    <mergeCell ref="L12:L13"/>
    <mergeCell ref="D12:E12"/>
    <mergeCell ref="F12:G12"/>
    <mergeCell ref="M12:M13"/>
    <mergeCell ref="N12:N13"/>
    <mergeCell ref="O12:O13"/>
    <mergeCell ref="P12:P13"/>
    <mergeCell ref="Q12:Q13"/>
    <mergeCell ref="A45:G45"/>
    <mergeCell ref="A47:J47"/>
    <mergeCell ref="L47:Q47"/>
    <mergeCell ref="A48:G48"/>
    <mergeCell ref="H48:J48"/>
    <mergeCell ref="A49:G49"/>
    <mergeCell ref="H49:J49"/>
    <mergeCell ref="A50:G50"/>
    <mergeCell ref="H50:J50"/>
    <mergeCell ref="A51:G51"/>
    <mergeCell ref="H51:J51"/>
    <mergeCell ref="A52:G52"/>
    <mergeCell ref="H52:J52"/>
    <mergeCell ref="A53:G53"/>
    <mergeCell ref="H53:J53"/>
    <mergeCell ref="A54:G54"/>
    <mergeCell ref="H54:J54"/>
    <mergeCell ref="A55:G55"/>
    <mergeCell ref="H55:J55"/>
    <mergeCell ref="A56:G56"/>
    <mergeCell ref="H56:J56"/>
    <mergeCell ref="A57:G57"/>
    <mergeCell ref="H57:J57"/>
    <mergeCell ref="L56:Q56"/>
    <mergeCell ref="A59:Q59"/>
    <mergeCell ref="A60:B60"/>
    <mergeCell ref="D60:G60"/>
    <mergeCell ref="H60:Q60"/>
    <mergeCell ref="A61:B61"/>
    <mergeCell ref="D61:G61"/>
    <mergeCell ref="H61:Q61"/>
    <mergeCell ref="A62:B62"/>
    <mergeCell ref="D62:G62"/>
    <mergeCell ref="H62:Q62"/>
    <mergeCell ref="A63:B63"/>
    <mergeCell ref="D63:G63"/>
    <mergeCell ref="H63:Q63"/>
    <mergeCell ref="A64:B64"/>
    <mergeCell ref="D64:G64"/>
    <mergeCell ref="H64:Q64"/>
    <mergeCell ref="A65:B65"/>
    <mergeCell ref="D65:G65"/>
    <mergeCell ref="H65:Q65"/>
    <mergeCell ref="A66:B66"/>
    <mergeCell ref="D66:G66"/>
    <mergeCell ref="H66:Q66"/>
    <mergeCell ref="A68:Q68"/>
    <mergeCell ref="A69:Q69"/>
  </mergeCells>
  <conditionalFormatting sqref="H50">
    <cfRule type="expression" dxfId="3" priority="4">
      <formula>AND(ISNUMBER(H50),ABS(H50)&gt;0.01)</formula>
    </cfRule>
  </conditionalFormatting>
  <conditionalFormatting sqref="H51">
    <cfRule type="beginsWith" dxfId="0" priority="1" operator="beginsWith" text="Corrisponde">
      <formula>LEFT(H51,11)="Corrisponde"</formula>
    </cfRule>
    <cfRule type="beginsWith" dxfId="1" priority="2" operator="beginsWith" text="Non corrisponde">
      <formula>LEFT(H51,15)="Non corrisponde"</formula>
    </cfRule>
    <cfRule type="beginsWith" dxfId="2" priority="3" operator="beginsWith" text="Totale non">
      <formula>LEFT(H51,10)="Totale non"</formula>
    </cfRule>
  </conditionalFormatting>
  <conditionalFormatting sqref="Q49:Q54">
    <cfRule type="beginsWith" dxfId="4" priority="5" operator="beginsWith" text="Oltre">
      <formula>LEFT(Q49,5)="Oltre"</formula>
    </cfRule>
    <cfRule type="beginsWith" dxfId="0" priority="6" operator="beginsWith" text="Entro">
      <formula>LEFT(Q49,5)="Entro"</formula>
    </cfRule>
    <cfRule type="beginsWith" dxfId="2" priority="7" operator="beginsWith" text="Ore PEI non">
      <formula>LEFT(Q49,11)="Ore PEI non"</formula>
    </cfRule>
  </conditionalFormatting>
  <hyperlinks>
    <hyperlink ref="Q4" location="'Riepilogo'!A1" tooltip="Torna al foglio Riepilogo" display="‹ Torna al Riepilogo"/>
    <hyperlink ref="C62" location="'ROSSI M. 03-2026'!A24" tooltip="Vai al giorno 11" display="11"/>
    <hyperlink ref="C63" location="'ROSSI M. 03-2026'!A24" tooltip="Vai al giorno 11" display="11"/>
    <hyperlink ref="C64" location="'ROSSI M. 03-2026'!A32" tooltip="Vai al giorno 19" display="19"/>
    <hyperlink ref="C65" location="'ROSSI M. 03-2026'!A36" tooltip="Vai al giorno 23" display="23"/>
    <hyperlink ref="C66" location="'ROSSI M. 03-2026'!A38" tooltip="Vai al giorno 25" display="25"/>
    <hyperlink ref="A70" location="'Riepilogo'!A1" display="‹ Torna al Riepilogo"/>
  </hyperlinks>
  <printOptions horizontalCentered="1"/>
  <pageMargins left="0.35" right="0.35" top="0.6" bottom="0.6" header="0.25" footer="0.25"/>
  <pageSetup paperSize="9" fitToHeight="0" orientation="landscape"/>
  <headerFooter>
    <oddHeader>&amp;L&amp;"Calibri,Regular"&amp;8&amp;K6B7280Sirio OCR · Rendicontazione Assistenza Specialistica&amp;R&amp;"Calibri,Regular"&amp;8&amp;K6B7280&amp;A</oddHeader>
    <oddFooter>&amp;L&amp;"Calibri,Regular"&amp;8&amp;K6B7280Generato il 10/10/2026 alle 17:01&amp;R&amp;"Calibri,Regular"&amp;8&amp;K6B7280Pagina &amp;P di &amp;N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91C1C"/>
    <pageSetUpPr fitToPage="1"/>
  </sheetPr>
  <dimension ref="A1:M25"/>
  <sheetViews>
    <sheetView showGridLines="0" zoomScale="90" zoomScaleNormal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8" customHeight="1"/>
  <cols>
    <col min="1" max="1" width="6.28515625" customWidth="1"/>
    <col min="2" max="2" width="22.7109375" customWidth="1"/>
    <col min="3" max="3" width="20.7109375" customWidth="1"/>
    <col min="4" max="4" width="10.7109375" customWidth="1"/>
    <col min="5" max="5" width="8.28515625" customWidth="1"/>
    <col min="6" max="7" width="11.7109375" customWidth="1"/>
    <col min="8" max="8" width="30.7109375" customWidth="1"/>
    <col min="9" max="9" width="26.7109375" customWidth="1"/>
    <col min="10" max="10" width="20.7109375" customWidth="1"/>
    <col min="11" max="11" width="72.7109375" customWidth="1"/>
    <col min="12" max="13" width="16.7109375" customWidth="1"/>
  </cols>
  <sheetData>
    <row r="1" spans="1:13" ht="34" customHeight="1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0" customHeight="1">
      <c r="A2" s="2" t="s">
        <v>241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0" customHeight="1">
      <c r="A4" s="32" t="s">
        <v>242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ht="30" customHeight="1">
      <c r="A5" s="11" t="s">
        <v>219</v>
      </c>
      <c r="B5" s="11" t="s">
        <v>10</v>
      </c>
      <c r="C5" s="11" t="s">
        <v>14</v>
      </c>
      <c r="D5" s="11" t="s">
        <v>178</v>
      </c>
      <c r="E5" s="11" t="s">
        <v>29</v>
      </c>
      <c r="F5" s="11" t="s">
        <v>30</v>
      </c>
      <c r="G5" s="11" t="s">
        <v>82</v>
      </c>
      <c r="H5" s="11" t="s">
        <v>243</v>
      </c>
      <c r="I5" s="11" t="s">
        <v>83</v>
      </c>
      <c r="J5" s="11" t="s">
        <v>244</v>
      </c>
      <c r="K5" s="11" t="s">
        <v>84</v>
      </c>
      <c r="L5" s="11" t="s">
        <v>245</v>
      </c>
      <c r="M5" s="11" t="s">
        <v>246</v>
      </c>
    </row>
    <row r="6" spans="1:13" ht="18.2" customHeight="1">
      <c r="A6" s="41">
        <v>1</v>
      </c>
      <c r="B6" s="148" t="s">
        <v>11</v>
      </c>
      <c r="C6" s="38" t="s">
        <v>15</v>
      </c>
      <c r="D6" s="39">
        <v>46082</v>
      </c>
      <c r="E6" s="24"/>
      <c r="F6" s="40"/>
      <c r="G6" s="23" t="s">
        <v>85</v>
      </c>
      <c r="H6" s="25" t="s">
        <v>247</v>
      </c>
      <c r="I6" s="15" t="s">
        <v>248</v>
      </c>
      <c r="J6" s="50" t="s">
        <v>249</v>
      </c>
      <c r="K6" s="15" t="s">
        <v>87</v>
      </c>
      <c r="L6" s="24">
        <v>10</v>
      </c>
      <c r="M6" s="149"/>
    </row>
    <row r="7" spans="1:13" ht="31.4" customHeight="1">
      <c r="A7" s="41">
        <v>2</v>
      </c>
      <c r="B7" s="148" t="s">
        <v>11</v>
      </c>
      <c r="C7" s="38" t="s">
        <v>15</v>
      </c>
      <c r="D7" s="39">
        <v>46082</v>
      </c>
      <c r="E7" s="24"/>
      <c r="F7" s="40"/>
      <c r="G7" s="23" t="s">
        <v>85</v>
      </c>
      <c r="H7" s="25" t="s">
        <v>250</v>
      </c>
      <c r="I7" s="15" t="s">
        <v>251</v>
      </c>
      <c r="J7" s="50" t="s">
        <v>252</v>
      </c>
      <c r="K7" s="15" t="s">
        <v>89</v>
      </c>
      <c r="L7" s="149" t="s">
        <v>253</v>
      </c>
      <c r="M7" s="149"/>
    </row>
    <row r="8" spans="1:13" ht="31.4" customHeight="1">
      <c r="A8" s="41">
        <v>3</v>
      </c>
      <c r="B8" s="148" t="s">
        <v>11</v>
      </c>
      <c r="C8" s="38" t="s">
        <v>15</v>
      </c>
      <c r="D8" s="39">
        <v>46082</v>
      </c>
      <c r="E8" s="24"/>
      <c r="F8" s="40"/>
      <c r="G8" s="23" t="s">
        <v>85</v>
      </c>
      <c r="H8" s="25" t="s">
        <v>254</v>
      </c>
      <c r="I8" s="15" t="s">
        <v>255</v>
      </c>
      <c r="J8" s="50" t="s">
        <v>249</v>
      </c>
      <c r="K8" s="15" t="s">
        <v>91</v>
      </c>
      <c r="L8" s="24">
        <v>12</v>
      </c>
      <c r="M8" s="24">
        <v>10</v>
      </c>
    </row>
    <row r="9" spans="1:13" ht="31.4" customHeight="1">
      <c r="A9" s="41">
        <v>4</v>
      </c>
      <c r="B9" s="148" t="s">
        <v>11</v>
      </c>
      <c r="C9" s="38" t="s">
        <v>15</v>
      </c>
      <c r="D9" s="39">
        <v>46082</v>
      </c>
      <c r="E9" s="24"/>
      <c r="F9" s="40"/>
      <c r="G9" s="23" t="s">
        <v>85</v>
      </c>
      <c r="H9" s="25" t="s">
        <v>254</v>
      </c>
      <c r="I9" s="15" t="s">
        <v>255</v>
      </c>
      <c r="J9" s="50" t="s">
        <v>249</v>
      </c>
      <c r="K9" s="15" t="s">
        <v>92</v>
      </c>
      <c r="L9" s="24">
        <v>10.25</v>
      </c>
      <c r="M9" s="24">
        <v>10</v>
      </c>
    </row>
    <row r="10" spans="1:13" ht="31.4" customHeight="1">
      <c r="A10" s="41">
        <v>5</v>
      </c>
      <c r="B10" s="148" t="s">
        <v>11</v>
      </c>
      <c r="C10" s="38" t="s">
        <v>15</v>
      </c>
      <c r="D10" s="39">
        <v>46082</v>
      </c>
      <c r="E10" s="24">
        <v>14</v>
      </c>
      <c r="F10" s="40">
        <v>46095</v>
      </c>
      <c r="G10" s="23" t="s">
        <v>93</v>
      </c>
      <c r="H10" s="25" t="s">
        <v>256</v>
      </c>
      <c r="I10" s="15" t="s">
        <v>257</v>
      </c>
      <c r="J10" s="50"/>
      <c r="K10" s="15" t="s">
        <v>96</v>
      </c>
      <c r="L10" s="149"/>
      <c r="M10" s="149"/>
    </row>
    <row r="11" spans="1:13" ht="18.2" customHeight="1">
      <c r="A11" s="41">
        <v>6</v>
      </c>
      <c r="B11" s="148" t="s">
        <v>11</v>
      </c>
      <c r="C11" s="38" t="s">
        <v>15</v>
      </c>
      <c r="D11" s="39">
        <v>46082</v>
      </c>
      <c r="E11" s="24">
        <v>14</v>
      </c>
      <c r="F11" s="40">
        <v>46095</v>
      </c>
      <c r="G11" s="23" t="s">
        <v>93</v>
      </c>
      <c r="H11" s="25" t="s">
        <v>258</v>
      </c>
      <c r="I11" s="15" t="s">
        <v>259</v>
      </c>
      <c r="J11" s="50" t="s">
        <v>260</v>
      </c>
      <c r="K11" s="15" t="s">
        <v>98</v>
      </c>
      <c r="L11" s="149" t="s">
        <v>261</v>
      </c>
      <c r="M11" s="149"/>
    </row>
    <row r="12" spans="1:13" ht="18.2" customHeight="1">
      <c r="A12" s="41">
        <v>7</v>
      </c>
      <c r="B12" s="148" t="s">
        <v>11</v>
      </c>
      <c r="C12" s="38" t="s">
        <v>15</v>
      </c>
      <c r="D12" s="39">
        <v>46082</v>
      </c>
      <c r="E12" s="24">
        <v>20</v>
      </c>
      <c r="F12" s="40">
        <v>46101</v>
      </c>
      <c r="G12" s="23" t="s">
        <v>93</v>
      </c>
      <c r="H12" s="25" t="s">
        <v>262</v>
      </c>
      <c r="I12" s="15" t="s">
        <v>263</v>
      </c>
      <c r="J12" s="50" t="s">
        <v>264</v>
      </c>
      <c r="K12" s="15" t="s">
        <v>101</v>
      </c>
      <c r="L12" s="149" t="s">
        <v>265</v>
      </c>
      <c r="M12" s="149" t="s">
        <v>261</v>
      </c>
    </row>
    <row r="13" spans="1:13" ht="31.4" customHeight="1">
      <c r="A13" s="41">
        <v>8</v>
      </c>
      <c r="B13" s="148" t="s">
        <v>106</v>
      </c>
      <c r="C13" s="38" t="s">
        <v>108</v>
      </c>
      <c r="D13" s="39">
        <v>46054</v>
      </c>
      <c r="E13" s="24">
        <v>10</v>
      </c>
      <c r="F13" s="40">
        <v>46063</v>
      </c>
      <c r="G13" s="23" t="s">
        <v>93</v>
      </c>
      <c r="H13" s="25" t="s">
        <v>266</v>
      </c>
      <c r="I13" s="15" t="s">
        <v>34</v>
      </c>
      <c r="J13" s="50" t="s">
        <v>34</v>
      </c>
      <c r="K13" s="15" t="s">
        <v>123</v>
      </c>
      <c r="L13" s="24">
        <v>104</v>
      </c>
      <c r="M13" s="149"/>
    </row>
    <row r="14" spans="1:13" ht="31.4" customHeight="1">
      <c r="A14" s="41">
        <v>9</v>
      </c>
      <c r="B14" s="148" t="s">
        <v>126</v>
      </c>
      <c r="C14" s="38" t="s">
        <v>127</v>
      </c>
      <c r="D14" s="39">
        <v>46054</v>
      </c>
      <c r="E14" s="24"/>
      <c r="F14" s="40"/>
      <c r="G14" s="23" t="s">
        <v>85</v>
      </c>
      <c r="H14" s="25" t="s">
        <v>247</v>
      </c>
      <c r="I14" s="15" t="s">
        <v>248</v>
      </c>
      <c r="J14" s="50" t="s">
        <v>14</v>
      </c>
      <c r="K14" s="15" t="s">
        <v>138</v>
      </c>
      <c r="L14" s="149" t="s">
        <v>127</v>
      </c>
      <c r="M14" s="149"/>
    </row>
    <row r="15" spans="1:13" ht="18.2" customHeight="1">
      <c r="A15" s="41">
        <v>10</v>
      </c>
      <c r="B15" s="148" t="s">
        <v>126</v>
      </c>
      <c r="C15" s="38" t="s">
        <v>127</v>
      </c>
      <c r="D15" s="39">
        <v>46054</v>
      </c>
      <c r="E15" s="24">
        <v>4</v>
      </c>
      <c r="F15" s="40">
        <v>46057</v>
      </c>
      <c r="G15" s="23" t="s">
        <v>93</v>
      </c>
      <c r="H15" s="25" t="s">
        <v>267</v>
      </c>
      <c r="I15" s="15" t="s">
        <v>33</v>
      </c>
      <c r="J15" s="50" t="s">
        <v>33</v>
      </c>
      <c r="K15" s="15" t="s">
        <v>141</v>
      </c>
      <c r="L15" s="24">
        <v>1.5</v>
      </c>
      <c r="M15" s="24">
        <v>3</v>
      </c>
    </row>
    <row r="16" spans="1:13" ht="31.4" customHeight="1">
      <c r="A16" s="41">
        <v>11</v>
      </c>
      <c r="B16" s="148" t="s">
        <v>126</v>
      </c>
      <c r="C16" s="38" t="s">
        <v>127</v>
      </c>
      <c r="D16" s="39">
        <v>46054</v>
      </c>
      <c r="E16" s="24">
        <v>12</v>
      </c>
      <c r="F16" s="40">
        <v>46065</v>
      </c>
      <c r="G16" s="23" t="s">
        <v>142</v>
      </c>
      <c r="H16" s="25" t="s">
        <v>268</v>
      </c>
      <c r="I16" s="15" t="s">
        <v>269</v>
      </c>
      <c r="J16" s="50" t="s">
        <v>264</v>
      </c>
      <c r="K16" s="15" t="s">
        <v>145</v>
      </c>
      <c r="L16" s="149"/>
      <c r="M16" s="149"/>
    </row>
    <row r="17" spans="1:13" ht="31.4" customHeight="1">
      <c r="A17" s="41">
        <v>12</v>
      </c>
      <c r="B17" s="148" t="s">
        <v>126</v>
      </c>
      <c r="C17" s="38" t="s">
        <v>127</v>
      </c>
      <c r="D17" s="39">
        <v>46054</v>
      </c>
      <c r="E17" s="24">
        <v>16</v>
      </c>
      <c r="F17" s="40">
        <v>46069</v>
      </c>
      <c r="G17" s="23" t="s">
        <v>93</v>
      </c>
      <c r="H17" s="25" t="s">
        <v>270</v>
      </c>
      <c r="I17" s="15" t="s">
        <v>271</v>
      </c>
      <c r="J17" s="50" t="s">
        <v>272</v>
      </c>
      <c r="K17" s="15" t="s">
        <v>148</v>
      </c>
      <c r="L17" s="149" t="s">
        <v>134</v>
      </c>
      <c r="M17" s="149"/>
    </row>
    <row r="18" spans="1:13" ht="31.4" customHeight="1">
      <c r="A18" s="41">
        <v>13</v>
      </c>
      <c r="B18" s="148" t="s">
        <v>126</v>
      </c>
      <c r="C18" s="38" t="s">
        <v>127</v>
      </c>
      <c r="D18" s="39">
        <v>46054</v>
      </c>
      <c r="E18" s="24">
        <v>17</v>
      </c>
      <c r="F18" s="40">
        <v>46070</v>
      </c>
      <c r="G18" s="23" t="s">
        <v>93</v>
      </c>
      <c r="H18" s="25" t="s">
        <v>270</v>
      </c>
      <c r="I18" s="15" t="s">
        <v>271</v>
      </c>
      <c r="J18" s="50" t="s">
        <v>272</v>
      </c>
      <c r="K18" s="15" t="s">
        <v>150</v>
      </c>
      <c r="L18" s="149" t="s">
        <v>134</v>
      </c>
      <c r="M18" s="149"/>
    </row>
    <row r="19" spans="1:13" ht="31.4" customHeight="1">
      <c r="A19" s="41">
        <v>14</v>
      </c>
      <c r="B19" s="148" t="s">
        <v>126</v>
      </c>
      <c r="C19" s="38" t="s">
        <v>127</v>
      </c>
      <c r="D19" s="39">
        <v>46054</v>
      </c>
      <c r="E19" s="24">
        <v>18</v>
      </c>
      <c r="F19" s="40">
        <v>46071</v>
      </c>
      <c r="G19" s="23" t="s">
        <v>85</v>
      </c>
      <c r="H19" s="25" t="s">
        <v>247</v>
      </c>
      <c r="I19" s="15" t="s">
        <v>248</v>
      </c>
      <c r="J19" s="50" t="s">
        <v>32</v>
      </c>
      <c r="K19" s="15" t="s">
        <v>152</v>
      </c>
      <c r="L19" s="24">
        <v>3</v>
      </c>
      <c r="M19" s="149"/>
    </row>
    <row r="20" spans="1:13" ht="31.4" customHeight="1">
      <c r="A20" s="41">
        <v>15</v>
      </c>
      <c r="B20" s="148" t="s">
        <v>126</v>
      </c>
      <c r="C20" s="38" t="s">
        <v>127</v>
      </c>
      <c r="D20" s="39">
        <v>46082</v>
      </c>
      <c r="E20" s="24"/>
      <c r="F20" s="40"/>
      <c r="G20" s="23" t="s">
        <v>142</v>
      </c>
      <c r="H20" s="25" t="s">
        <v>273</v>
      </c>
      <c r="I20" s="15" t="s">
        <v>274</v>
      </c>
      <c r="J20" s="50" t="s">
        <v>275</v>
      </c>
      <c r="K20" s="15" t="s">
        <v>160</v>
      </c>
      <c r="L20" s="24">
        <v>64</v>
      </c>
      <c r="M20" s="24">
        <v>64.5</v>
      </c>
    </row>
    <row r="21" spans="1:13" ht="18.2" customHeight="1">
      <c r="A21" s="41">
        <v>16</v>
      </c>
      <c r="B21" s="148" t="s">
        <v>126</v>
      </c>
      <c r="C21" s="38" t="s">
        <v>127</v>
      </c>
      <c r="D21" s="39">
        <v>46082</v>
      </c>
      <c r="E21" s="24">
        <v>11</v>
      </c>
      <c r="F21" s="40">
        <v>46092</v>
      </c>
      <c r="G21" s="23" t="s">
        <v>142</v>
      </c>
      <c r="H21" s="25" t="s">
        <v>276</v>
      </c>
      <c r="I21" s="15" t="s">
        <v>277</v>
      </c>
      <c r="J21" s="50" t="s">
        <v>32</v>
      </c>
      <c r="K21" s="15" t="s">
        <v>163</v>
      </c>
      <c r="L21" s="24">
        <v>3</v>
      </c>
      <c r="M21" s="24">
        <v>2.5</v>
      </c>
    </row>
    <row r="22" spans="1:13" ht="18.2" customHeight="1">
      <c r="A22" s="41">
        <v>17</v>
      </c>
      <c r="B22" s="148" t="s">
        <v>126</v>
      </c>
      <c r="C22" s="38" t="s">
        <v>127</v>
      </c>
      <c r="D22" s="39">
        <v>46082</v>
      </c>
      <c r="E22" s="24">
        <v>11</v>
      </c>
      <c r="F22" s="40">
        <v>46092</v>
      </c>
      <c r="G22" s="23" t="s">
        <v>93</v>
      </c>
      <c r="H22" s="25" t="s">
        <v>262</v>
      </c>
      <c r="I22" s="15" t="s">
        <v>263</v>
      </c>
      <c r="J22" s="50" t="s">
        <v>264</v>
      </c>
      <c r="K22" s="15" t="s">
        <v>164</v>
      </c>
      <c r="L22" s="149" t="s">
        <v>278</v>
      </c>
      <c r="M22" s="149" t="s">
        <v>279</v>
      </c>
    </row>
    <row r="23" spans="1:13" ht="18.2" customHeight="1">
      <c r="A23" s="41">
        <v>18</v>
      </c>
      <c r="B23" s="148" t="s">
        <v>126</v>
      </c>
      <c r="C23" s="38" t="s">
        <v>127</v>
      </c>
      <c r="D23" s="39">
        <v>46082</v>
      </c>
      <c r="E23" s="24">
        <v>19</v>
      </c>
      <c r="F23" s="40">
        <v>46100</v>
      </c>
      <c r="G23" s="23" t="s">
        <v>93</v>
      </c>
      <c r="H23" s="25" t="s">
        <v>267</v>
      </c>
      <c r="I23" s="15" t="s">
        <v>33</v>
      </c>
      <c r="J23" s="50" t="s">
        <v>33</v>
      </c>
      <c r="K23" s="15" t="s">
        <v>166</v>
      </c>
      <c r="L23" s="24">
        <v>1.5</v>
      </c>
      <c r="M23" s="24">
        <v>3</v>
      </c>
    </row>
    <row r="24" spans="1:13" ht="31.4" customHeight="1">
      <c r="A24" s="41">
        <v>19</v>
      </c>
      <c r="B24" s="148" t="s">
        <v>126</v>
      </c>
      <c r="C24" s="38" t="s">
        <v>127</v>
      </c>
      <c r="D24" s="39">
        <v>46082</v>
      </c>
      <c r="E24" s="24">
        <v>23</v>
      </c>
      <c r="F24" s="40">
        <v>46104</v>
      </c>
      <c r="G24" s="23" t="s">
        <v>85</v>
      </c>
      <c r="H24" s="25" t="s">
        <v>247</v>
      </c>
      <c r="I24" s="15" t="s">
        <v>248</v>
      </c>
      <c r="J24" s="50" t="s">
        <v>280</v>
      </c>
      <c r="K24" s="15" t="s">
        <v>168</v>
      </c>
      <c r="L24" s="43">
        <v>0.4583333333333333</v>
      </c>
      <c r="M24" s="149"/>
    </row>
    <row r="25" spans="1:13" ht="18.2" customHeight="1">
      <c r="A25" s="41">
        <v>20</v>
      </c>
      <c r="B25" s="148" t="s">
        <v>126</v>
      </c>
      <c r="C25" s="38" t="s">
        <v>127</v>
      </c>
      <c r="D25" s="39">
        <v>46082</v>
      </c>
      <c r="E25" s="24">
        <v>25</v>
      </c>
      <c r="F25" s="40">
        <v>46106</v>
      </c>
      <c r="G25" s="23" t="s">
        <v>85</v>
      </c>
      <c r="H25" s="25" t="s">
        <v>281</v>
      </c>
      <c r="I25" s="15" t="s">
        <v>282</v>
      </c>
      <c r="J25" s="50" t="s">
        <v>35</v>
      </c>
      <c r="K25" s="15" t="s">
        <v>171</v>
      </c>
      <c r="L25" s="149" t="s">
        <v>253</v>
      </c>
      <c r="M25" s="149"/>
    </row>
  </sheetData>
  <autoFilter ref="A5:M25"/>
  <mergeCells count="3">
    <mergeCell ref="A1:M1"/>
    <mergeCell ref="A2:M2"/>
    <mergeCell ref="A4:M4"/>
  </mergeCells>
  <conditionalFormatting sqref="G6:G25">
    <cfRule type="cellIs" dxfId="4" priority="1" operator="equal">
      <formula>"Errore"</formula>
    </cfRule>
    <cfRule type="cellIs" dxfId="11" priority="2" operator="equal">
      <formula>"Attenzione"</formula>
    </cfRule>
    <cfRule type="cellIs" dxfId="12" priority="3" operator="equal">
      <formula>"Info"</formula>
    </cfRule>
  </conditionalFormatting>
  <hyperlinks>
    <hyperlink ref="B6" location="'DE LUCA G. 03-2026'!A1" tooltip="Apri la scheda del foglio firma" display="DE LUCA GIOVANNA"/>
    <hyperlink ref="B7" location="'DE LUCA G. 03-2026'!A1" tooltip="Apri la scheda del foglio firma" display="DE LUCA GIOVANNA"/>
    <hyperlink ref="B8" location="'DE LUCA G. 03-2026'!A1" tooltip="Apri la scheda del foglio firma" display="DE LUCA GIOVANNA"/>
    <hyperlink ref="B9" location="'DE LUCA G. 03-2026'!A1" tooltip="Apri la scheda del foglio firma" display="DE LUCA GIOVANNA"/>
    <hyperlink ref="B10" location="'DE LUCA G. 03-2026'!A27" tooltip="Apri la scheda del foglio firma" display="DE LUCA GIOVANNA"/>
    <hyperlink ref="B11" location="'DE LUCA G. 03-2026'!A27" tooltip="Apri la scheda del foglio firma" display="DE LUCA GIOVANNA"/>
    <hyperlink ref="B12" location="'DE LUCA G. 03-2026'!A33" tooltip="Apri la scheda del foglio firma" display="DE LUCA GIOVANNA"/>
    <hyperlink ref="B13" location="'ESPOSITO A. 02-2026'!A23" tooltip="Apri la scheda del foglio firma" display="ESPOSITO ANNA"/>
    <hyperlink ref="B14" location="'ROSSI M. 02-2026'!A1" tooltip="Apri la scheda del foglio firma" display="ROSSI MARIO"/>
    <hyperlink ref="B15" location="'ROSSI M. 02-2026'!A17" tooltip="Apri la scheda del foglio firma" display="ROSSI MARIO"/>
    <hyperlink ref="B16" location="'ROSSI M. 02-2026'!A25" tooltip="Apri la scheda del foglio firma" display="ROSSI MARIO"/>
    <hyperlink ref="B17" location="'ROSSI M. 02-2026'!A29" tooltip="Apri la scheda del foglio firma" display="ROSSI MARIO"/>
    <hyperlink ref="B18" location="'ROSSI M. 02-2026'!A30" tooltip="Apri la scheda del foglio firma" display="ROSSI MARIO"/>
    <hyperlink ref="B19" location="'ROSSI M. 02-2026'!A31" tooltip="Apri la scheda del foglio firma" display="ROSSI MARIO"/>
    <hyperlink ref="B20" location="'ROSSI M. 03-2026'!A1" tooltip="Apri la scheda del foglio firma" display="ROSSI MARIO"/>
    <hyperlink ref="B21" location="'ROSSI M. 03-2026'!A24" tooltip="Apri la scheda del foglio firma" display="ROSSI MARIO"/>
    <hyperlink ref="B22" location="'ROSSI M. 03-2026'!A24" tooltip="Apri la scheda del foglio firma" display="ROSSI MARIO"/>
    <hyperlink ref="B23" location="'ROSSI M. 03-2026'!A32" tooltip="Apri la scheda del foglio firma" display="ROSSI MARIO"/>
    <hyperlink ref="B24" location="'ROSSI M. 03-2026'!A36" tooltip="Apri la scheda del foglio firma" display="ROSSI MARIO"/>
    <hyperlink ref="B25" location="'ROSSI M. 03-2026'!A38" tooltip="Apri la scheda del foglio firma" display="ROSSI MARIO"/>
  </hyperlinks>
  <printOptions horizontalCentered="1"/>
  <pageMargins left="0.35" right="0.35" top="0.6" bottom="0.6" header="0.25" footer="0.25"/>
  <pageSetup paperSize="9" fitToHeight="0" orientation="landscape"/>
  <headerFooter>
    <oddHeader>&amp;L&amp;"Calibri,Regular"&amp;8&amp;K6B7280Sirio OCR · Rendicontazione Assistenza Specialistica&amp;R&amp;"Calibri,Regular"&amp;8&amp;K6B7280&amp;A</oddHeader>
    <oddFooter>&amp;L&amp;"Calibri,Regular"&amp;8&amp;K6B7280Generato il 10/10/2026 alle 17:01&amp;R&amp;"Calibri,Regular"&amp;8&amp;K6B7280Pagina 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563EB"/>
    <pageSetUpPr fitToPage="1"/>
  </sheetPr>
  <dimension ref="A1:K25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8" customHeight="1"/>
  <cols>
    <col min="1" max="1" width="32.7109375" customWidth="1"/>
    <col min="2" max="2" width="8.7109375" customWidth="1"/>
    <col min="3" max="4" width="12.7109375" customWidth="1"/>
    <col min="5" max="5" width="13.28515625" customWidth="1"/>
    <col min="6" max="6" width="12.7109375" customWidth="1"/>
    <col min="7" max="7" width="11.7109375" customWidth="1"/>
    <col min="8" max="10" width="10.7109375" customWidth="1"/>
    <col min="11" max="11" width="34.7109375" customWidth="1"/>
  </cols>
  <sheetData>
    <row r="1" spans="1:11" ht="34" customHeight="1">
      <c r="A1" s="1" t="s">
        <v>283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2" t="s">
        <v>284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ht="26" customHeight="1">
      <c r="A5" s="106" t="s">
        <v>285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</row>
    <row r="6" spans="1:11" ht="32" customHeight="1">
      <c r="A6" s="11" t="s">
        <v>10</v>
      </c>
      <c r="B6" s="11" t="s">
        <v>286</v>
      </c>
      <c r="C6" s="12" t="s">
        <v>287</v>
      </c>
      <c r="D6" s="12" t="s">
        <v>288</v>
      </c>
      <c r="E6" s="12" t="s">
        <v>289</v>
      </c>
      <c r="F6" s="12" t="s">
        <v>41</v>
      </c>
      <c r="G6" s="12" t="s">
        <v>290</v>
      </c>
      <c r="H6" s="11" t="s">
        <v>223</v>
      </c>
      <c r="I6" s="11" t="s">
        <v>66</v>
      </c>
      <c r="J6" s="11" t="s">
        <v>67</v>
      </c>
      <c r="K6" s="11" t="s">
        <v>291</v>
      </c>
    </row>
    <row r="7" spans="1:11" ht="20" customHeight="1">
      <c r="A7" s="150" t="s">
        <v>11</v>
      </c>
      <c r="B7" s="22">
        <f>COUNTIF('Riepilogo'!$B$12:$B$15,"="&amp;SUBSTITUTE(SUBSTITUTE(SUBSTITUTE($A$7,"~","~~"),"*","~*"),"?","~?"))</f>
        <v>1.0</v>
      </c>
      <c r="C7" s="20">
        <f>SUMIFS('Riepilogo'!$J$12:$J$15,'Riepilogo'!$B$12:$B$15,"="&amp;SUBSTITUTE(SUBSTITUTE(SUBSTITUTE($A$7,"~","~~"),"*","~*"),"?","~?"),'Riepilogo'!$E$12:$E$15,DATE(2026,2,1))</f>
        <v>0.0</v>
      </c>
      <c r="D7" s="20">
        <f>SUMIFS('Riepilogo'!$J$12:$J$15,'Riepilogo'!$B$12:$B$15,"="&amp;SUBSTITUTE(SUBSTITUTE(SUBSTITUTE($A$7,"~","~~"),"*","~*"),"?","~?"),'Riepilogo'!$E$12:$E$15,DATE(2026,3,1))</f>
        <v>46.25</v>
      </c>
      <c r="E7" s="151">
        <f>SUMIFS('Riepilogo'!$J$12:$J$15,'Riepilogo'!$B$12:$B$15,"="&amp;SUBSTITUTE(SUBSTITUTE(SUBSTITUTE($A$7,"~","~~"),"*","~*"),"?","~?"))</f>
        <v>46.25</v>
      </c>
      <c r="F7" s="20">
        <f>SUMIFS('Riepilogo'!$G$12:$G$15,'Riepilogo'!$B$12:$B$15,"="&amp;SUBSTITUTE(SUBSTITUTE(SUBSTITUTE($A$7,"~","~~"),"*","~*"),"?","~?"))</f>
        <v>44.0</v>
      </c>
      <c r="G7" s="152">
        <f>IF(F7&gt;0,E7/F7,"")</f>
        <v>1.0511363636363635</v>
      </c>
      <c r="H7" s="22">
        <f>SUMIFS('Riepilogo'!$M$12:$M$15,'Riepilogo'!$B$12:$B$15,"="&amp;SUBSTITUTE(SUBSTITUTE(SUBSTITUTE($A$7,"~","~~"),"*","~*"),"?","~?"))</f>
        <v>23.0</v>
      </c>
      <c r="I7" s="22">
        <f>SUMIFS('Riepilogo'!$N$12:$N$15,'Riepilogo'!$B$12:$B$15,"="&amp;SUBSTITUTE(SUBSTITUTE(SUBSTITUTE($A$7,"~","~~"),"*","~*"),"?","~?"))</f>
        <v>0.0</v>
      </c>
      <c r="J7" s="22">
        <f>SUMIFS('Riepilogo'!$O$12:$O$15,'Riepilogo'!$B$12:$B$15,"="&amp;SUBSTITUTE(SUBSTITUTE(SUBSTITUTE($A$7,"~","~~"),"*","~*"),"?","~?"))</f>
        <v>0.0</v>
      </c>
      <c r="K7" s="153" t="s">
        <v>15</v>
      </c>
    </row>
    <row r="8" spans="1:11" ht="20" customHeight="1">
      <c r="A8" s="150" t="s">
        <v>106</v>
      </c>
      <c r="B8" s="22">
        <f>COUNTIF('Riepilogo'!$B$12:$B$15,"="&amp;SUBSTITUTE(SUBSTITUTE(SUBSTITUTE($A$8,"~","~~"),"*","~*"),"?","~?"))</f>
        <v>1.0</v>
      </c>
      <c r="C8" s="20">
        <f>SUMIFS('Riepilogo'!$J$12:$J$15,'Riepilogo'!$B$12:$B$15,"="&amp;SUBSTITUTE(SUBSTITUTE(SUBSTITUTE($A$8,"~","~~"),"*","~*"),"?","~?"),'Riepilogo'!$E$12:$E$15,DATE(2026,2,1))</f>
        <v>45.0</v>
      </c>
      <c r="D8" s="20">
        <f>SUMIFS('Riepilogo'!$J$12:$J$15,'Riepilogo'!$B$12:$B$15,"="&amp;SUBSTITUTE(SUBSTITUTE(SUBSTITUTE($A$8,"~","~~"),"*","~*"),"?","~?"),'Riepilogo'!$E$12:$E$15,DATE(2026,3,1))</f>
        <v>0.0</v>
      </c>
      <c r="E8" s="151">
        <f>SUMIFS('Riepilogo'!$J$12:$J$15,'Riepilogo'!$B$12:$B$15,"="&amp;SUBSTITUTE(SUBSTITUTE(SUBSTITUTE($A$8,"~","~~"),"*","~*"),"?","~?"))</f>
        <v>45.0</v>
      </c>
      <c r="F8" s="20">
        <f>SUMIFS('Riepilogo'!$G$12:$G$15,'Riepilogo'!$B$12:$B$15,"="&amp;SUBSTITUTE(SUBSTITUTE(SUBSTITUTE($A$8,"~","~~"),"*","~*"),"?","~?"))</f>
        <v>48.0</v>
      </c>
      <c r="G8" s="152">
        <f>IF(F8&gt;0,E8/F8,"")</f>
        <v>0.9375</v>
      </c>
      <c r="H8" s="22">
        <f>SUMIFS('Riepilogo'!$M$12:$M$15,'Riepilogo'!$B$12:$B$15,"="&amp;SUBSTITUTE(SUBSTITUTE(SUBSTITUTE($A$8,"~","~~"),"*","~*"),"?","~?"))</f>
        <v>15.0</v>
      </c>
      <c r="I8" s="22">
        <f>SUMIFS('Riepilogo'!$N$12:$N$15,'Riepilogo'!$B$12:$B$15,"="&amp;SUBSTITUTE(SUBSTITUTE(SUBSTITUTE($A$8,"~","~~"),"*","~*"),"?","~?"))</f>
        <v>0.0</v>
      </c>
      <c r="J8" s="22">
        <f>SUMIFS('Riepilogo'!$O$12:$O$15,'Riepilogo'!$B$12:$B$15,"="&amp;SUBSTITUTE(SUBSTITUTE(SUBSTITUTE($A$8,"~","~~"),"*","~*"),"?","~?"))</f>
        <v>1.0</v>
      </c>
      <c r="K8" s="153" t="s">
        <v>108</v>
      </c>
    </row>
    <row r="9" spans="1:11" ht="20" customHeight="1">
      <c r="A9" s="150" t="s">
        <v>126</v>
      </c>
      <c r="B9" s="22">
        <f>COUNTIF('Riepilogo'!$B$12:$B$15,"="&amp;SUBSTITUTE(SUBSTITUTE(SUBSTITUTE($A$9,"~","~~"),"*","~*"),"?","~?"))</f>
        <v>2.0</v>
      </c>
      <c r="C9" s="20">
        <f>SUMIFS('Riepilogo'!$J$12:$J$15,'Riepilogo'!$B$12:$B$15,"="&amp;SUBSTITUTE(SUBSTITUTE(SUBSTITUTE($A$9,"~","~~"),"*","~*"),"?","~?"),'Riepilogo'!$E$12:$E$15,DATE(2026,2,1))</f>
        <v>52.5</v>
      </c>
      <c r="D9" s="20">
        <f>SUMIFS('Riepilogo'!$J$12:$J$15,'Riepilogo'!$B$12:$B$15,"="&amp;SUBSTITUTE(SUBSTITUTE(SUBSTITUTE($A$9,"~","~~"),"*","~*"),"?","~?"),'Riepilogo'!$E$12:$E$15,DATE(2026,3,1))</f>
        <v>64.5</v>
      </c>
      <c r="E9" s="151">
        <f>SUMIFS('Riepilogo'!$J$12:$J$15,'Riepilogo'!$B$12:$B$15,"="&amp;SUBSTITUTE(SUBSTITUTE(SUBSTITUTE($A$9,"~","~~"),"*","~*"),"?","~?"))</f>
        <v>117.0</v>
      </c>
      <c r="F9" s="20">
        <f>SUMIFS('Riepilogo'!$G$12:$G$15,'Riepilogo'!$B$12:$B$15,"="&amp;SUBSTITUTE(SUBSTITUTE(SUBSTITUTE($A$9,"~","~~"),"*","~*"),"?","~?"))</f>
        <v>126.0</v>
      </c>
      <c r="G9" s="152">
        <f>IF(F9&gt;0,E9/F9,"")</f>
        <v>0.9285714285714286</v>
      </c>
      <c r="H9" s="22">
        <f>SUMIFS('Riepilogo'!$M$12:$M$15,'Riepilogo'!$B$12:$B$15,"="&amp;SUBSTITUTE(SUBSTITUTE(SUBSTITUTE($A$9,"~","~~"),"*","~*"),"?","~?"))</f>
        <v>40.0</v>
      </c>
      <c r="I9" s="22">
        <f>SUMIFS('Riepilogo'!$N$12:$N$15,'Riepilogo'!$B$12:$B$15,"="&amp;SUBSTITUTE(SUBSTITUTE(SUBSTITUTE($A$9,"~","~~"),"*","~*"),"?","~?"))</f>
        <v>2.0</v>
      </c>
      <c r="J9" s="22">
        <f>SUMIFS('Riepilogo'!$O$12:$O$15,'Riepilogo'!$B$12:$B$15,"="&amp;SUBSTITUTE(SUBSTITUTE(SUBSTITUTE($A$9,"~","~~"),"*","~*"),"?","~?"))</f>
        <v>0.0</v>
      </c>
      <c r="K9" s="153" t="s">
        <v>127</v>
      </c>
    </row>
    <row r="10" spans="1:11" ht="22" customHeight="1">
      <c r="A10" s="116" t="s">
        <v>237</v>
      </c>
      <c r="B10" s="31">
        <f>SUM(B7:B9)</f>
        <v>4.0</v>
      </c>
      <c r="C10" s="154">
        <f>SUM(C7:C9)</f>
        <v>97.5</v>
      </c>
      <c r="D10" s="154">
        <f>SUM(D7:D9)</f>
        <v>110.75</v>
      </c>
      <c r="E10" s="154">
        <f>SUM(E7:E9)</f>
        <v>208.25</v>
      </c>
      <c r="F10" s="154">
        <f>SUM(F7:F9)</f>
        <v>218.0</v>
      </c>
      <c r="G10" s="155">
        <f>IF(F10&gt;0,E10/F10,"")</f>
        <v>0.9552752293577982</v>
      </c>
      <c r="H10" s="31">
        <f>SUM(H7:H9)</f>
        <v>78.0</v>
      </c>
      <c r="I10" s="31">
        <f>SUM(I7:I9)</f>
        <v>2.0</v>
      </c>
      <c r="J10" s="31">
        <f>SUM(J7:J9)</f>
        <v>1.0</v>
      </c>
      <c r="K10" s="27"/>
    </row>
    <row r="12" spans="1:11" ht="26" customHeight="1">
      <c r="A12" s="106" t="s">
        <v>292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</row>
    <row r="13" spans="1:11" ht="32" customHeight="1">
      <c r="A13" s="11" t="s">
        <v>14</v>
      </c>
      <c r="B13" s="11" t="s">
        <v>286</v>
      </c>
      <c r="C13" s="12" t="s">
        <v>287</v>
      </c>
      <c r="D13" s="12" t="s">
        <v>288</v>
      </c>
      <c r="E13" s="12" t="s">
        <v>289</v>
      </c>
      <c r="F13" s="12" t="s">
        <v>41</v>
      </c>
      <c r="G13" s="12" t="s">
        <v>290</v>
      </c>
      <c r="H13" s="11" t="s">
        <v>223</v>
      </c>
      <c r="I13" s="11" t="s">
        <v>66</v>
      </c>
      <c r="J13" s="11" t="s">
        <v>67</v>
      </c>
      <c r="K13" s="11" t="s">
        <v>293</v>
      </c>
    </row>
    <row r="14" spans="1:11" ht="20" customHeight="1">
      <c r="A14" s="150" t="s">
        <v>127</v>
      </c>
      <c r="B14" s="22">
        <f>COUNTIF('Riepilogo'!$C$12:$C$15,"="&amp;SUBSTITUTE(SUBSTITUTE(SUBSTITUTE($A$14,"~","~~"),"*","~*"),"?","~?"))</f>
        <v>2.0</v>
      </c>
      <c r="C14" s="20">
        <f>SUMIFS('Riepilogo'!$J$12:$J$15,'Riepilogo'!$C$12:$C$15,"="&amp;SUBSTITUTE(SUBSTITUTE(SUBSTITUTE($A$14,"~","~~"),"*","~*"),"?","~?"),'Riepilogo'!$E$12:$E$15,DATE(2026,2,1))</f>
        <v>52.5</v>
      </c>
      <c r="D14" s="20">
        <f>SUMIFS('Riepilogo'!$J$12:$J$15,'Riepilogo'!$C$12:$C$15,"="&amp;SUBSTITUTE(SUBSTITUTE(SUBSTITUTE($A$14,"~","~~"),"*","~*"),"?","~?"),'Riepilogo'!$E$12:$E$15,DATE(2026,3,1))</f>
        <v>64.5</v>
      </c>
      <c r="E14" s="151">
        <f>SUMIFS('Riepilogo'!$J$12:$J$15,'Riepilogo'!$C$12:$C$15,"="&amp;SUBSTITUTE(SUBSTITUTE(SUBSTITUTE($A$14,"~","~~"),"*","~*"),"?","~?"))</f>
        <v>117.0</v>
      </c>
      <c r="F14" s="20">
        <f>SUMIFS('Riepilogo'!$G$12:$G$15,'Riepilogo'!$C$12:$C$15,"="&amp;SUBSTITUTE(SUBSTITUTE(SUBSTITUTE($A$14,"~","~~"),"*","~*"),"?","~?"))</f>
        <v>126.0</v>
      </c>
      <c r="G14" s="152">
        <f>IF(F14&gt;0,E14/F14,"")</f>
        <v>0.9285714285714286</v>
      </c>
      <c r="H14" s="22">
        <f>SUMIFS('Riepilogo'!$M$12:$M$15,'Riepilogo'!$C$12:$C$15,"="&amp;SUBSTITUTE(SUBSTITUTE(SUBSTITUTE($A$14,"~","~~"),"*","~*"),"?","~?"))</f>
        <v>40.0</v>
      </c>
      <c r="I14" s="22">
        <f>SUMIFS('Riepilogo'!$N$12:$N$15,'Riepilogo'!$C$12:$C$15,"="&amp;SUBSTITUTE(SUBSTITUTE(SUBSTITUTE($A$14,"~","~~"),"*","~*"),"?","~?"))</f>
        <v>2.0</v>
      </c>
      <c r="J14" s="22">
        <f>SUMIFS('Riepilogo'!$O$12:$O$15,'Riepilogo'!$C$12:$C$15,"="&amp;SUBSTITUTE(SUBSTITUTE(SUBSTITUTE($A$14,"~","~~"),"*","~*"),"?","~?"))</f>
        <v>0.0</v>
      </c>
      <c r="K14" s="153" t="s">
        <v>126</v>
      </c>
    </row>
    <row r="15" spans="1:11" ht="20" customHeight="1">
      <c r="A15" s="150" t="s">
        <v>15</v>
      </c>
      <c r="B15" s="22">
        <f>COUNTIF('Riepilogo'!$C$12:$C$15,"="&amp;SUBSTITUTE(SUBSTITUTE(SUBSTITUTE($A$15,"~","~~"),"*","~*"),"?","~?"))</f>
        <v>1.0</v>
      </c>
      <c r="C15" s="20">
        <f>SUMIFS('Riepilogo'!$J$12:$J$15,'Riepilogo'!$C$12:$C$15,"="&amp;SUBSTITUTE(SUBSTITUTE(SUBSTITUTE($A$15,"~","~~"),"*","~*"),"?","~?"),'Riepilogo'!$E$12:$E$15,DATE(2026,2,1))</f>
        <v>0.0</v>
      </c>
      <c r="D15" s="20">
        <f>SUMIFS('Riepilogo'!$J$12:$J$15,'Riepilogo'!$C$12:$C$15,"="&amp;SUBSTITUTE(SUBSTITUTE(SUBSTITUTE($A$15,"~","~~"),"*","~*"),"?","~?"),'Riepilogo'!$E$12:$E$15,DATE(2026,3,1))</f>
        <v>46.25</v>
      </c>
      <c r="E15" s="151">
        <f>SUMIFS('Riepilogo'!$J$12:$J$15,'Riepilogo'!$C$12:$C$15,"="&amp;SUBSTITUTE(SUBSTITUTE(SUBSTITUTE($A$15,"~","~~"),"*","~*"),"?","~?"))</f>
        <v>46.25</v>
      </c>
      <c r="F15" s="20">
        <f>SUMIFS('Riepilogo'!$G$12:$G$15,'Riepilogo'!$C$12:$C$15,"="&amp;SUBSTITUTE(SUBSTITUTE(SUBSTITUTE($A$15,"~","~~"),"*","~*"),"?","~?"))</f>
        <v>44.0</v>
      </c>
      <c r="G15" s="152">
        <f>IF(F15&gt;0,E15/F15,"")</f>
        <v>1.0511363636363635</v>
      </c>
      <c r="H15" s="22">
        <f>SUMIFS('Riepilogo'!$M$12:$M$15,'Riepilogo'!$C$12:$C$15,"="&amp;SUBSTITUTE(SUBSTITUTE(SUBSTITUTE($A$15,"~","~~"),"*","~*"),"?","~?"))</f>
        <v>23.0</v>
      </c>
      <c r="I15" s="22">
        <f>SUMIFS('Riepilogo'!$N$12:$N$15,'Riepilogo'!$C$12:$C$15,"="&amp;SUBSTITUTE(SUBSTITUTE(SUBSTITUTE($A$15,"~","~~"),"*","~*"),"?","~?"))</f>
        <v>0.0</v>
      </c>
      <c r="J15" s="22">
        <f>SUMIFS('Riepilogo'!$O$12:$O$15,'Riepilogo'!$C$12:$C$15,"="&amp;SUBSTITUTE(SUBSTITUTE(SUBSTITUTE($A$15,"~","~~"),"*","~*"),"?","~?"))</f>
        <v>0.0</v>
      </c>
      <c r="K15" s="153" t="s">
        <v>11</v>
      </c>
    </row>
    <row r="16" spans="1:11" ht="20" customHeight="1">
      <c r="A16" s="150" t="s">
        <v>108</v>
      </c>
      <c r="B16" s="22">
        <f>COUNTIF('Riepilogo'!$C$12:$C$15,"="&amp;SUBSTITUTE(SUBSTITUTE(SUBSTITUTE($A$16,"~","~~"),"*","~*"),"?","~?"))</f>
        <v>1.0</v>
      </c>
      <c r="C16" s="20">
        <f>SUMIFS('Riepilogo'!$J$12:$J$15,'Riepilogo'!$C$12:$C$15,"="&amp;SUBSTITUTE(SUBSTITUTE(SUBSTITUTE($A$16,"~","~~"),"*","~*"),"?","~?"),'Riepilogo'!$E$12:$E$15,DATE(2026,2,1))</f>
        <v>45.0</v>
      </c>
      <c r="D16" s="20">
        <f>SUMIFS('Riepilogo'!$J$12:$J$15,'Riepilogo'!$C$12:$C$15,"="&amp;SUBSTITUTE(SUBSTITUTE(SUBSTITUTE($A$16,"~","~~"),"*","~*"),"?","~?"),'Riepilogo'!$E$12:$E$15,DATE(2026,3,1))</f>
        <v>0.0</v>
      </c>
      <c r="E16" s="151">
        <f>SUMIFS('Riepilogo'!$J$12:$J$15,'Riepilogo'!$C$12:$C$15,"="&amp;SUBSTITUTE(SUBSTITUTE(SUBSTITUTE($A$16,"~","~~"),"*","~*"),"?","~?"))</f>
        <v>45.0</v>
      </c>
      <c r="F16" s="20">
        <f>SUMIFS('Riepilogo'!$G$12:$G$15,'Riepilogo'!$C$12:$C$15,"="&amp;SUBSTITUTE(SUBSTITUTE(SUBSTITUTE($A$16,"~","~~"),"*","~*"),"?","~?"))</f>
        <v>48.0</v>
      </c>
      <c r="G16" s="152">
        <f>IF(F16&gt;0,E16/F16,"")</f>
        <v>0.9375</v>
      </c>
      <c r="H16" s="22">
        <f>SUMIFS('Riepilogo'!$M$12:$M$15,'Riepilogo'!$C$12:$C$15,"="&amp;SUBSTITUTE(SUBSTITUTE(SUBSTITUTE($A$16,"~","~~"),"*","~*"),"?","~?"))</f>
        <v>15.0</v>
      </c>
      <c r="I16" s="22">
        <f>SUMIFS('Riepilogo'!$N$12:$N$15,'Riepilogo'!$C$12:$C$15,"="&amp;SUBSTITUTE(SUBSTITUTE(SUBSTITUTE($A$16,"~","~~"),"*","~*"),"?","~?"))</f>
        <v>0.0</v>
      </c>
      <c r="J16" s="22">
        <f>SUMIFS('Riepilogo'!$O$12:$O$15,'Riepilogo'!$C$12:$C$15,"="&amp;SUBSTITUTE(SUBSTITUTE(SUBSTITUTE($A$16,"~","~~"),"*","~*"),"?","~?"))</f>
        <v>1.0</v>
      </c>
      <c r="K16" s="153" t="s">
        <v>106</v>
      </c>
    </row>
    <row r="17" spans="1:11" ht="22" customHeight="1">
      <c r="A17" s="116" t="s">
        <v>237</v>
      </c>
      <c r="B17" s="31">
        <f>SUM(B14:B16)</f>
        <v>4.0</v>
      </c>
      <c r="C17" s="154">
        <f>SUM(C14:C16)</f>
        <v>97.5</v>
      </c>
      <c r="D17" s="154">
        <f>SUM(D14:D16)</f>
        <v>110.75</v>
      </c>
      <c r="E17" s="154">
        <f>SUM(E14:E16)</f>
        <v>208.25</v>
      </c>
      <c r="F17" s="154">
        <f>SUM(F14:F16)</f>
        <v>218.0</v>
      </c>
      <c r="G17" s="155">
        <f>IF(F17&gt;0,E17/F17,"")</f>
        <v>0.9552752293577982</v>
      </c>
      <c r="H17" s="31">
        <f>SUM(H14:H16)</f>
        <v>78.0</v>
      </c>
      <c r="I17" s="31">
        <f>SUM(I14:I16)</f>
        <v>2.0</v>
      </c>
      <c r="J17" s="31">
        <f>SUM(J14:J16)</f>
        <v>1.0</v>
      </c>
      <c r="K17" s="27"/>
    </row>
    <row r="19" spans="1:11" ht="26" customHeight="1">
      <c r="A19" s="106" t="s">
        <v>294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</row>
    <row r="20" spans="1:11" ht="32" customHeight="1">
      <c r="A20" s="11" t="s">
        <v>177</v>
      </c>
      <c r="B20" s="11" t="s">
        <v>286</v>
      </c>
      <c r="C20" s="12" t="s">
        <v>287</v>
      </c>
      <c r="D20" s="12" t="s">
        <v>288</v>
      </c>
      <c r="E20" s="12" t="s">
        <v>289</v>
      </c>
      <c r="F20" s="12" t="s">
        <v>41</v>
      </c>
      <c r="G20" s="12" t="s">
        <v>290</v>
      </c>
      <c r="H20" s="11" t="s">
        <v>223</v>
      </c>
      <c r="I20" s="11" t="s">
        <v>66</v>
      </c>
      <c r="J20" s="11" t="s">
        <v>67</v>
      </c>
      <c r="K20" s="11" t="s">
        <v>295</v>
      </c>
    </row>
    <row r="21" spans="1:11" ht="20" customHeight="1">
      <c r="A21" s="150" t="s">
        <v>8</v>
      </c>
      <c r="B21" s="22">
        <f>COUNTIF('Riepilogo'!$D$12:$D$15,"="&amp;SUBSTITUTE(SUBSTITUTE(SUBSTITUTE($A$21,"~","~~"),"*","~*"),"?","~?"))</f>
        <v>3.0</v>
      </c>
      <c r="C21" s="20">
        <f>SUMIFS('Riepilogo'!$J$12:$J$15,'Riepilogo'!$D$12:$D$15,"="&amp;SUBSTITUTE(SUBSTITUTE(SUBSTITUTE($A$21,"~","~~"),"*","~*"),"?","~?"),'Riepilogo'!$E$12:$E$15,DATE(2026,2,1))</f>
        <v>52.5</v>
      </c>
      <c r="D21" s="20">
        <f>SUMIFS('Riepilogo'!$J$12:$J$15,'Riepilogo'!$D$12:$D$15,"="&amp;SUBSTITUTE(SUBSTITUTE(SUBSTITUTE($A$21,"~","~~"),"*","~*"),"?","~?"),'Riepilogo'!$E$12:$E$15,DATE(2026,3,1))</f>
        <v>110.75</v>
      </c>
      <c r="E21" s="151">
        <f>SUMIFS('Riepilogo'!$J$12:$J$15,'Riepilogo'!$D$12:$D$15,"="&amp;SUBSTITUTE(SUBSTITUTE(SUBSTITUTE($A$21,"~","~~"),"*","~*"),"?","~?"))</f>
        <v>163.25</v>
      </c>
      <c r="F21" s="20">
        <f>SUMIFS('Riepilogo'!$G$12:$G$15,'Riepilogo'!$D$12:$D$15,"="&amp;SUBSTITUTE(SUBSTITUTE(SUBSTITUTE($A$21,"~","~~"),"*","~*"),"?","~?"))</f>
        <v>170.0</v>
      </c>
      <c r="G21" s="152">
        <f>IF(F21&gt;0,E21/F21,"")</f>
        <v>0.9602941176470589</v>
      </c>
      <c r="H21" s="22">
        <f>SUMIFS('Riepilogo'!$M$12:$M$15,'Riepilogo'!$D$12:$D$15,"="&amp;SUBSTITUTE(SUBSTITUTE(SUBSTITUTE($A$21,"~","~~"),"*","~*"),"?","~?"))</f>
        <v>63.0</v>
      </c>
      <c r="I21" s="22">
        <f>SUMIFS('Riepilogo'!$N$12:$N$15,'Riepilogo'!$D$12:$D$15,"="&amp;SUBSTITUTE(SUBSTITUTE(SUBSTITUTE($A$21,"~","~~"),"*","~*"),"?","~?"))</f>
        <v>2.0</v>
      </c>
      <c r="J21" s="22">
        <f>SUMIFS('Riepilogo'!$O$12:$O$15,'Riepilogo'!$D$12:$D$15,"="&amp;SUBSTITUTE(SUBSTITUTE(SUBSTITUTE($A$21,"~","~~"),"*","~*"),"?","~?"))</f>
        <v>0.0</v>
      </c>
      <c r="K21" s="153" t="s">
        <v>296</v>
      </c>
    </row>
    <row r="22" spans="1:11" ht="20" customHeight="1">
      <c r="A22" s="150" t="s">
        <v>105</v>
      </c>
      <c r="B22" s="22">
        <f>COUNTIF('Riepilogo'!$D$12:$D$15,"="&amp;SUBSTITUTE(SUBSTITUTE(SUBSTITUTE($A$22,"~","~~"),"*","~*"),"?","~?"))</f>
        <v>1.0</v>
      </c>
      <c r="C22" s="20">
        <f>SUMIFS('Riepilogo'!$J$12:$J$15,'Riepilogo'!$D$12:$D$15,"="&amp;SUBSTITUTE(SUBSTITUTE(SUBSTITUTE($A$22,"~","~~"),"*","~*"),"?","~?"),'Riepilogo'!$E$12:$E$15,DATE(2026,2,1))</f>
        <v>45.0</v>
      </c>
      <c r="D22" s="20">
        <f>SUMIFS('Riepilogo'!$J$12:$J$15,'Riepilogo'!$D$12:$D$15,"="&amp;SUBSTITUTE(SUBSTITUTE(SUBSTITUTE($A$22,"~","~~"),"*","~*"),"?","~?"),'Riepilogo'!$E$12:$E$15,DATE(2026,3,1))</f>
        <v>0.0</v>
      </c>
      <c r="E22" s="151">
        <f>SUMIFS('Riepilogo'!$J$12:$J$15,'Riepilogo'!$D$12:$D$15,"="&amp;SUBSTITUTE(SUBSTITUTE(SUBSTITUTE($A$22,"~","~~"),"*","~*"),"?","~?"))</f>
        <v>45.0</v>
      </c>
      <c r="F22" s="20">
        <f>SUMIFS('Riepilogo'!$G$12:$G$15,'Riepilogo'!$D$12:$D$15,"="&amp;SUBSTITUTE(SUBSTITUTE(SUBSTITUTE($A$22,"~","~~"),"*","~*"),"?","~?"))</f>
        <v>48.0</v>
      </c>
      <c r="G22" s="152">
        <f>IF(F22&gt;0,E22/F22,"")</f>
        <v>0.9375</v>
      </c>
      <c r="H22" s="22">
        <f>SUMIFS('Riepilogo'!$M$12:$M$15,'Riepilogo'!$D$12:$D$15,"="&amp;SUBSTITUTE(SUBSTITUTE(SUBSTITUTE($A$22,"~","~~"),"*","~*"),"?","~?"))</f>
        <v>15.0</v>
      </c>
      <c r="I22" s="22">
        <f>SUMIFS('Riepilogo'!$N$12:$N$15,'Riepilogo'!$D$12:$D$15,"="&amp;SUBSTITUTE(SUBSTITUTE(SUBSTITUTE($A$22,"~","~~"),"*","~*"),"?","~?"))</f>
        <v>0.0</v>
      </c>
      <c r="J22" s="22">
        <f>SUMIFS('Riepilogo'!$O$12:$O$15,'Riepilogo'!$D$12:$D$15,"="&amp;SUBSTITUTE(SUBSTITUTE(SUBSTITUTE($A$22,"~","~~"),"*","~*"),"?","~?"))</f>
        <v>1.0</v>
      </c>
      <c r="K22" s="153" t="s">
        <v>108</v>
      </c>
    </row>
    <row r="23" spans="1:11" ht="22" customHeight="1">
      <c r="A23" s="116" t="s">
        <v>237</v>
      </c>
      <c r="B23" s="31">
        <f>SUM(B21:B22)</f>
        <v>4.0</v>
      </c>
      <c r="C23" s="154">
        <f>SUM(C21:C22)</f>
        <v>97.5</v>
      </c>
      <c r="D23" s="154">
        <f>SUM(D21:D22)</f>
        <v>110.75</v>
      </c>
      <c r="E23" s="154">
        <f>SUM(E21:E22)</f>
        <v>208.25</v>
      </c>
      <c r="F23" s="154">
        <f>SUM(F21:F22)</f>
        <v>218.0</v>
      </c>
      <c r="G23" s="155">
        <f>IF(F23&gt;0,E23/F23,"")</f>
        <v>0.9552752293577982</v>
      </c>
      <c r="H23" s="31">
        <f>SUM(H21:H22)</f>
        <v>78.0</v>
      </c>
      <c r="I23" s="31">
        <f>SUM(I21:I22)</f>
        <v>2.0</v>
      </c>
      <c r="J23" s="31">
        <f>SUM(J21:J22)</f>
        <v>1.0</v>
      </c>
      <c r="K23" s="27"/>
    </row>
    <row r="25" spans="1:11" ht="30" customHeight="1">
      <c r="A25" s="156" t="s">
        <v>297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</row>
  </sheetData>
  <mergeCells count="6">
    <mergeCell ref="A1:K1"/>
    <mergeCell ref="A2:K2"/>
    <mergeCell ref="A5:K5"/>
    <mergeCell ref="A12:K12"/>
    <mergeCell ref="A19:K19"/>
    <mergeCell ref="A25:K25"/>
  </mergeCells>
  <printOptions horizontalCentered="1"/>
  <pageMargins left="0.35" right="0.35" top="0.6" bottom="0.6" header="0.25" footer="0.25"/>
  <pageSetup paperSize="9" fitToHeight="0" orientation="landscape"/>
  <headerFooter>
    <oddHeader>&amp;L&amp;"Calibri,Regular"&amp;8&amp;K6B7280Sirio OCR · Rendicontazione Assistenza Specialistica&amp;R&amp;"Calibri,Regular"&amp;8&amp;K6B7280&amp;A</oddHeader>
    <oddFooter>&amp;L&amp;"Calibri,Regular"&amp;8&amp;K6B7280Generato il 10/10/2026 alle 17:01&amp;R&amp;"Calibri,Regular"&amp;8&amp;K6B7280Pagina &amp;P di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CA3AF"/>
    <pageSetUpPr fitToPage="1"/>
  </sheetPr>
  <dimension ref="A1:I70"/>
  <sheetViews>
    <sheetView showGridLines="0" workbookViewId="0"/>
  </sheetViews>
  <sheetFormatPr defaultRowHeight="18" customHeight="1"/>
  <cols>
    <col min="1" max="1" width="3.7109375" customWidth="1"/>
    <col min="2" max="2" width="18.7109375" customWidth="1"/>
    <col min="3" max="9" width="16.7109375" customWidth="1"/>
  </cols>
  <sheetData>
    <row r="1" spans="1:9" ht="34" customHeight="1">
      <c r="A1" s="1" t="s">
        <v>298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299</v>
      </c>
      <c r="B2" s="2"/>
      <c r="C2" s="2"/>
      <c r="D2" s="2"/>
      <c r="E2" s="2"/>
      <c r="F2" s="2"/>
      <c r="G2" s="2"/>
      <c r="H2" s="2"/>
      <c r="I2" s="2"/>
    </row>
    <row r="3" spans="1:9" ht="4" customHeight="1">
      <c r="A3" s="3"/>
      <c r="B3" s="3"/>
      <c r="C3" s="3"/>
      <c r="D3" s="3"/>
      <c r="E3" s="3"/>
      <c r="F3" s="3"/>
      <c r="G3" s="3"/>
      <c r="H3" s="3"/>
      <c r="I3" s="3"/>
    </row>
    <row r="5" spans="1:9" ht="26" customHeight="1">
      <c r="B5" s="106" t="s">
        <v>300</v>
      </c>
      <c r="C5" s="106"/>
      <c r="D5" s="106"/>
      <c r="E5" s="106"/>
      <c r="F5" s="106"/>
      <c r="G5" s="106"/>
      <c r="H5" s="106"/>
      <c r="I5" s="106"/>
    </row>
    <row r="6" spans="1:9" ht="31.4" customHeight="1">
      <c r="B6" s="157" t="s">
        <v>132</v>
      </c>
      <c r="C6" s="158" t="s">
        <v>301</v>
      </c>
      <c r="D6" s="158"/>
      <c r="E6" s="158"/>
      <c r="F6" s="158"/>
      <c r="G6" s="158"/>
      <c r="H6" s="158"/>
      <c r="I6" s="158"/>
    </row>
    <row r="7" spans="1:9" ht="22" customHeight="1">
      <c r="B7" s="159">
        <v>0.3333333333333333</v>
      </c>
      <c r="C7" s="158" t="s">
        <v>302</v>
      </c>
      <c r="D7" s="158"/>
      <c r="E7" s="158"/>
      <c r="F7" s="158"/>
      <c r="G7" s="158"/>
      <c r="H7" s="158"/>
      <c r="I7" s="158"/>
    </row>
    <row r="8" spans="1:9" ht="22" customHeight="1">
      <c r="B8" s="160">
        <v>0.3541666666666667</v>
      </c>
      <c r="C8" s="158" t="s">
        <v>303</v>
      </c>
      <c r="D8" s="158"/>
      <c r="E8" s="158"/>
      <c r="F8" s="158"/>
      <c r="G8" s="158"/>
      <c r="H8" s="158"/>
      <c r="I8" s="158"/>
    </row>
    <row r="9" spans="1:9" ht="22" customHeight="1">
      <c r="B9" s="161" t="s">
        <v>54</v>
      </c>
      <c r="C9" s="158" t="s">
        <v>304</v>
      </c>
      <c r="D9" s="158"/>
      <c r="E9" s="158"/>
      <c r="F9" s="158"/>
      <c r="G9" s="158"/>
      <c r="H9" s="158"/>
      <c r="I9" s="158"/>
    </row>
    <row r="10" spans="1:9" ht="22" customHeight="1">
      <c r="B10" s="162">
        <v>31</v>
      </c>
      <c r="C10" s="158" t="s">
        <v>305</v>
      </c>
      <c r="D10" s="158"/>
      <c r="E10" s="158"/>
      <c r="F10" s="158"/>
      <c r="G10" s="158"/>
      <c r="H10" s="158"/>
      <c r="I10" s="158"/>
    </row>
    <row r="11" spans="1:9" ht="22" customHeight="1">
      <c r="B11" s="163" t="s">
        <v>131</v>
      </c>
      <c r="C11" s="158" t="s">
        <v>306</v>
      </c>
      <c r="D11" s="158"/>
      <c r="E11" s="158"/>
      <c r="F11" s="158"/>
      <c r="G11" s="158"/>
      <c r="H11" s="158"/>
      <c r="I11" s="158"/>
    </row>
    <row r="12" spans="1:9" ht="22" customHeight="1">
      <c r="B12" s="164" t="s">
        <v>49</v>
      </c>
      <c r="C12" s="158" t="s">
        <v>307</v>
      </c>
      <c r="D12" s="158"/>
      <c r="E12" s="158"/>
      <c r="F12" s="158"/>
      <c r="G12" s="158"/>
      <c r="H12" s="158"/>
      <c r="I12" s="158"/>
    </row>
    <row r="13" spans="1:9" ht="22" customHeight="1">
      <c r="B13" s="165" t="s">
        <v>232</v>
      </c>
      <c r="C13" s="158" t="s">
        <v>308</v>
      </c>
      <c r="D13" s="158"/>
      <c r="E13" s="158"/>
      <c r="F13" s="158"/>
      <c r="G13" s="158"/>
      <c r="H13" s="158"/>
      <c r="I13" s="158"/>
    </row>
    <row r="14" spans="1:9" ht="22" customHeight="1">
      <c r="B14" s="166" t="s">
        <v>227</v>
      </c>
      <c r="C14" s="158" t="s">
        <v>309</v>
      </c>
      <c r="D14" s="158"/>
      <c r="E14" s="158"/>
      <c r="F14" s="158"/>
      <c r="G14" s="158"/>
      <c r="H14" s="158"/>
      <c r="I14" s="158"/>
    </row>
    <row r="15" spans="1:9" ht="22" customHeight="1">
      <c r="B15" s="11" t="s">
        <v>310</v>
      </c>
      <c r="C15" s="158" t="s">
        <v>311</v>
      </c>
      <c r="D15" s="158"/>
      <c r="E15" s="158"/>
      <c r="F15" s="158"/>
      <c r="G15" s="158"/>
      <c r="H15" s="158"/>
      <c r="I15" s="158"/>
    </row>
    <row r="16" spans="1:9" ht="22" customHeight="1">
      <c r="B16" s="12" t="s">
        <v>310</v>
      </c>
      <c r="C16" s="158" t="s">
        <v>312</v>
      </c>
      <c r="D16" s="158"/>
      <c r="E16" s="158"/>
      <c r="F16" s="158"/>
      <c r="G16" s="158"/>
      <c r="H16" s="158"/>
      <c r="I16" s="158"/>
    </row>
    <row r="18" spans="2:9" ht="26" customHeight="1">
      <c r="B18" s="106" t="s">
        <v>313</v>
      </c>
      <c r="C18" s="106"/>
      <c r="D18" s="106"/>
      <c r="E18" s="106"/>
      <c r="F18" s="106"/>
      <c r="G18" s="106"/>
      <c r="H18" s="106"/>
      <c r="I18" s="106"/>
    </row>
    <row r="19" spans="2:9" ht="31.4" customHeight="1">
      <c r="B19" s="167" t="s">
        <v>314</v>
      </c>
      <c r="C19" s="158" t="s">
        <v>315</v>
      </c>
      <c r="D19" s="158"/>
      <c r="E19" s="158"/>
      <c r="F19" s="158"/>
      <c r="G19" s="158"/>
      <c r="H19" s="158"/>
      <c r="I19" s="158"/>
    </row>
    <row r="20" spans="2:9" ht="31.4" customHeight="1">
      <c r="B20" s="167" t="s">
        <v>314</v>
      </c>
      <c r="C20" s="158" t="s">
        <v>316</v>
      </c>
      <c r="D20" s="158"/>
      <c r="E20" s="158"/>
      <c r="F20" s="158"/>
      <c r="G20" s="158"/>
      <c r="H20" s="158"/>
      <c r="I20" s="158"/>
    </row>
    <row r="21" spans="2:9" ht="31.4" customHeight="1">
      <c r="B21" s="167" t="s">
        <v>314</v>
      </c>
      <c r="C21" s="158" t="s">
        <v>317</v>
      </c>
      <c r="D21" s="158"/>
      <c r="E21" s="158"/>
      <c r="F21" s="158"/>
      <c r="G21" s="158"/>
      <c r="H21" s="158"/>
      <c r="I21" s="158"/>
    </row>
    <row r="22" spans="2:9" ht="31.4" customHeight="1">
      <c r="B22" s="167" t="s">
        <v>314</v>
      </c>
      <c r="C22" s="158" t="s">
        <v>318</v>
      </c>
      <c r="D22" s="158"/>
      <c r="E22" s="158"/>
      <c r="F22" s="158"/>
      <c r="G22" s="158"/>
      <c r="H22" s="158"/>
      <c r="I22" s="158"/>
    </row>
    <row r="23" spans="2:9" ht="44.6" customHeight="1">
      <c r="B23" s="167" t="s">
        <v>314</v>
      </c>
      <c r="C23" s="158" t="s">
        <v>319</v>
      </c>
      <c r="D23" s="158"/>
      <c r="E23" s="158"/>
      <c r="F23" s="158"/>
      <c r="G23" s="158"/>
      <c r="H23" s="158"/>
      <c r="I23" s="158"/>
    </row>
    <row r="24" spans="2:9" ht="22" customHeight="1">
      <c r="B24" s="167" t="s">
        <v>314</v>
      </c>
      <c r="C24" s="158" t="s">
        <v>320</v>
      </c>
      <c r="D24" s="158"/>
      <c r="E24" s="158"/>
      <c r="F24" s="158"/>
      <c r="G24" s="158"/>
      <c r="H24" s="158"/>
      <c r="I24" s="158"/>
    </row>
    <row r="25" spans="2:9" ht="22" customHeight="1">
      <c r="B25" s="167" t="s">
        <v>314</v>
      </c>
      <c r="C25" s="158" t="s">
        <v>321</v>
      </c>
      <c r="D25" s="158"/>
      <c r="E25" s="158"/>
      <c r="F25" s="158"/>
      <c r="G25" s="158"/>
      <c r="H25" s="158"/>
      <c r="I25" s="158"/>
    </row>
    <row r="26" spans="2:9" ht="44.6" customHeight="1">
      <c r="B26" s="167" t="s">
        <v>314</v>
      </c>
      <c r="C26" s="158" t="s">
        <v>322</v>
      </c>
      <c r="D26" s="158"/>
      <c r="E26" s="158"/>
      <c r="F26" s="158"/>
      <c r="G26" s="158"/>
      <c r="H26" s="158"/>
      <c r="I26" s="158"/>
    </row>
    <row r="28" spans="2:9" ht="26" customHeight="1">
      <c r="B28" s="106" t="s">
        <v>323</v>
      </c>
      <c r="C28" s="106"/>
      <c r="D28" s="106"/>
      <c r="E28" s="106"/>
      <c r="F28" s="106"/>
      <c r="G28" s="106"/>
      <c r="H28" s="106"/>
      <c r="I28" s="106"/>
    </row>
    <row r="29" spans="2:9" ht="22" customHeight="1">
      <c r="B29" s="11" t="s">
        <v>243</v>
      </c>
      <c r="C29" s="11" t="s">
        <v>83</v>
      </c>
      <c r="D29" s="11"/>
      <c r="E29" s="11" t="s">
        <v>82</v>
      </c>
      <c r="F29" s="11" t="s">
        <v>84</v>
      </c>
      <c r="G29" s="11"/>
      <c r="H29" s="11"/>
      <c r="I29" s="11"/>
    </row>
    <row r="30" spans="2:9" ht="31.4" customHeight="1">
      <c r="B30" s="23" t="s">
        <v>324</v>
      </c>
      <c r="C30" s="110" t="s">
        <v>277</v>
      </c>
      <c r="D30" s="110"/>
      <c r="E30" s="146" t="s">
        <v>142</v>
      </c>
      <c r="F30" s="121" t="s">
        <v>325</v>
      </c>
      <c r="G30" s="121"/>
      <c r="H30" s="121"/>
      <c r="I30" s="121"/>
    </row>
    <row r="31" spans="2:9" ht="20" customHeight="1">
      <c r="B31" s="23" t="s">
        <v>326</v>
      </c>
      <c r="C31" s="110" t="s">
        <v>274</v>
      </c>
      <c r="D31" s="110"/>
      <c r="E31" s="146" t="s">
        <v>142</v>
      </c>
      <c r="F31" s="121" t="s">
        <v>327</v>
      </c>
      <c r="G31" s="121"/>
      <c r="H31" s="121"/>
      <c r="I31" s="121"/>
    </row>
    <row r="32" spans="2:9" ht="31.4" customHeight="1">
      <c r="B32" s="23" t="s">
        <v>328</v>
      </c>
      <c r="C32" s="110" t="s">
        <v>329</v>
      </c>
      <c r="D32" s="110"/>
      <c r="E32" s="146" t="s">
        <v>142</v>
      </c>
      <c r="F32" s="121" t="s">
        <v>330</v>
      </c>
      <c r="G32" s="121"/>
      <c r="H32" s="121"/>
      <c r="I32" s="121"/>
    </row>
    <row r="33" spans="2:9" ht="31.4" customHeight="1">
      <c r="B33" s="23" t="s">
        <v>331</v>
      </c>
      <c r="C33" s="110" t="s">
        <v>114</v>
      </c>
      <c r="D33" s="110"/>
      <c r="E33" s="146" t="s">
        <v>142</v>
      </c>
      <c r="F33" s="121" t="s">
        <v>332</v>
      </c>
      <c r="G33" s="121"/>
      <c r="H33" s="121"/>
      <c r="I33" s="121"/>
    </row>
    <row r="34" spans="2:9" ht="31.4" customHeight="1">
      <c r="B34" s="23" t="s">
        <v>333</v>
      </c>
      <c r="C34" s="110" t="s">
        <v>269</v>
      </c>
      <c r="D34" s="110"/>
      <c r="E34" s="146" t="s">
        <v>334</v>
      </c>
      <c r="F34" s="121" t="s">
        <v>335</v>
      </c>
      <c r="G34" s="121"/>
      <c r="H34" s="121"/>
      <c r="I34" s="121"/>
    </row>
    <row r="35" spans="2:9" ht="31.4" customHeight="1">
      <c r="B35" s="23" t="s">
        <v>336</v>
      </c>
      <c r="C35" s="110" t="s">
        <v>337</v>
      </c>
      <c r="D35" s="110"/>
      <c r="E35" s="146" t="s">
        <v>142</v>
      </c>
      <c r="F35" s="121" t="s">
        <v>338</v>
      </c>
      <c r="G35" s="121"/>
      <c r="H35" s="121"/>
      <c r="I35" s="121"/>
    </row>
    <row r="36" spans="2:9" ht="20" customHeight="1">
      <c r="B36" s="23" t="s">
        <v>339</v>
      </c>
      <c r="C36" s="110" t="s">
        <v>282</v>
      </c>
      <c r="D36" s="110"/>
      <c r="E36" s="119" t="s">
        <v>85</v>
      </c>
      <c r="F36" s="121" t="s">
        <v>340</v>
      </c>
      <c r="G36" s="121"/>
      <c r="H36" s="121"/>
      <c r="I36" s="121"/>
    </row>
    <row r="37" spans="2:9" ht="31.4" customHeight="1">
      <c r="B37" s="23" t="s">
        <v>341</v>
      </c>
      <c r="C37" s="110" t="s">
        <v>342</v>
      </c>
      <c r="D37" s="110"/>
      <c r="E37" s="119" t="s">
        <v>85</v>
      </c>
      <c r="F37" s="121" t="s">
        <v>343</v>
      </c>
      <c r="G37" s="121"/>
      <c r="H37" s="121"/>
      <c r="I37" s="121"/>
    </row>
    <row r="38" spans="2:9" ht="31.4" customHeight="1">
      <c r="B38" s="23" t="s">
        <v>344</v>
      </c>
      <c r="C38" s="110" t="s">
        <v>257</v>
      </c>
      <c r="D38" s="110"/>
      <c r="E38" s="119" t="s">
        <v>345</v>
      </c>
      <c r="F38" s="121" t="s">
        <v>346</v>
      </c>
      <c r="G38" s="121"/>
      <c r="H38" s="121"/>
      <c r="I38" s="121"/>
    </row>
    <row r="39" spans="2:9" ht="20" customHeight="1">
      <c r="B39" s="23" t="s">
        <v>347</v>
      </c>
      <c r="C39" s="110" t="s">
        <v>248</v>
      </c>
      <c r="D39" s="110"/>
      <c r="E39" s="119" t="s">
        <v>85</v>
      </c>
      <c r="F39" s="121" t="s">
        <v>348</v>
      </c>
      <c r="G39" s="121"/>
      <c r="H39" s="121"/>
      <c r="I39" s="121"/>
    </row>
    <row r="40" spans="2:9" ht="20" customHeight="1">
      <c r="B40" s="23" t="s">
        <v>349</v>
      </c>
      <c r="C40" s="110" t="s">
        <v>350</v>
      </c>
      <c r="D40" s="110"/>
      <c r="E40" s="119" t="s">
        <v>85</v>
      </c>
      <c r="F40" s="121" t="s">
        <v>351</v>
      </c>
      <c r="G40" s="121"/>
      <c r="H40" s="121"/>
      <c r="I40" s="121"/>
    </row>
    <row r="41" spans="2:9" ht="20" customHeight="1">
      <c r="B41" s="23" t="s">
        <v>352</v>
      </c>
      <c r="C41" s="110" t="s">
        <v>255</v>
      </c>
      <c r="D41" s="110"/>
      <c r="E41" s="119" t="s">
        <v>85</v>
      </c>
      <c r="F41" s="121" t="s">
        <v>353</v>
      </c>
      <c r="G41" s="121"/>
      <c r="H41" s="121"/>
      <c r="I41" s="121"/>
    </row>
    <row r="42" spans="2:9" ht="20" customHeight="1">
      <c r="B42" s="23" t="s">
        <v>354</v>
      </c>
      <c r="C42" s="110" t="s">
        <v>355</v>
      </c>
      <c r="D42" s="110"/>
      <c r="E42" s="119" t="s">
        <v>85</v>
      </c>
      <c r="F42" s="121" t="s">
        <v>356</v>
      </c>
      <c r="G42" s="121"/>
      <c r="H42" s="121"/>
      <c r="I42" s="121"/>
    </row>
    <row r="43" spans="2:9" ht="20" customHeight="1">
      <c r="B43" s="23" t="s">
        <v>357</v>
      </c>
      <c r="C43" s="110" t="s">
        <v>358</v>
      </c>
      <c r="D43" s="110"/>
      <c r="E43" s="119" t="s">
        <v>85</v>
      </c>
      <c r="F43" s="121" t="s">
        <v>359</v>
      </c>
      <c r="G43" s="121"/>
      <c r="H43" s="121"/>
      <c r="I43" s="121"/>
    </row>
    <row r="44" spans="2:9" ht="20" customHeight="1">
      <c r="B44" s="23" t="s">
        <v>360</v>
      </c>
      <c r="C44" s="110" t="s">
        <v>251</v>
      </c>
      <c r="D44" s="110"/>
      <c r="E44" s="119" t="s">
        <v>85</v>
      </c>
      <c r="F44" s="121" t="s">
        <v>361</v>
      </c>
      <c r="G44" s="121"/>
      <c r="H44" s="121"/>
      <c r="I44" s="121"/>
    </row>
    <row r="45" spans="2:9" ht="20" customHeight="1">
      <c r="B45" s="23" t="s">
        <v>362</v>
      </c>
      <c r="C45" s="110" t="s">
        <v>363</v>
      </c>
      <c r="D45" s="110"/>
      <c r="E45" s="119" t="s">
        <v>85</v>
      </c>
      <c r="F45" s="121" t="s">
        <v>364</v>
      </c>
      <c r="G45" s="121"/>
      <c r="H45" s="121"/>
      <c r="I45" s="121"/>
    </row>
    <row r="46" spans="2:9" ht="20" customHeight="1">
      <c r="B46" s="23" t="s">
        <v>365</v>
      </c>
      <c r="C46" s="110" t="s">
        <v>366</v>
      </c>
      <c r="D46" s="110"/>
      <c r="E46" s="119" t="s">
        <v>85</v>
      </c>
      <c r="F46" s="121" t="s">
        <v>367</v>
      </c>
      <c r="G46" s="121"/>
      <c r="H46" s="121"/>
      <c r="I46" s="121"/>
    </row>
    <row r="47" spans="2:9" ht="31.4" customHeight="1">
      <c r="B47" s="23" t="s">
        <v>368</v>
      </c>
      <c r="C47" s="110" t="s">
        <v>369</v>
      </c>
      <c r="D47" s="110"/>
      <c r="E47" s="119" t="s">
        <v>85</v>
      </c>
      <c r="F47" s="121" t="s">
        <v>370</v>
      </c>
      <c r="G47" s="121"/>
      <c r="H47" s="121"/>
      <c r="I47" s="121"/>
    </row>
    <row r="48" spans="2:9" ht="44.6" customHeight="1">
      <c r="B48" s="23" t="s">
        <v>371</v>
      </c>
      <c r="C48" s="110" t="s">
        <v>372</v>
      </c>
      <c r="D48" s="110"/>
      <c r="E48" s="119" t="s">
        <v>85</v>
      </c>
      <c r="F48" s="121" t="s">
        <v>373</v>
      </c>
      <c r="G48" s="121"/>
      <c r="H48" s="121"/>
      <c r="I48" s="121"/>
    </row>
    <row r="49" spans="2:9" ht="20" customHeight="1">
      <c r="B49" s="23" t="s">
        <v>374</v>
      </c>
      <c r="C49" s="110" t="s">
        <v>33</v>
      </c>
      <c r="D49" s="110"/>
      <c r="E49" s="122" t="s">
        <v>93</v>
      </c>
      <c r="F49" s="121" t="s">
        <v>375</v>
      </c>
      <c r="G49" s="121"/>
      <c r="H49" s="121"/>
      <c r="I49" s="121"/>
    </row>
    <row r="50" spans="2:9" ht="31.4" customHeight="1">
      <c r="B50" s="23" t="s">
        <v>376</v>
      </c>
      <c r="C50" s="110" t="s">
        <v>34</v>
      </c>
      <c r="D50" s="110"/>
      <c r="E50" s="122" t="s">
        <v>93</v>
      </c>
      <c r="F50" s="121" t="s">
        <v>377</v>
      </c>
      <c r="G50" s="121"/>
      <c r="H50" s="121"/>
      <c r="I50" s="121"/>
    </row>
    <row r="51" spans="2:9" ht="20" customHeight="1">
      <c r="B51" s="23" t="s">
        <v>378</v>
      </c>
      <c r="C51" s="110" t="s">
        <v>263</v>
      </c>
      <c r="D51" s="110"/>
      <c r="E51" s="122" t="s">
        <v>93</v>
      </c>
      <c r="F51" s="121" t="s">
        <v>379</v>
      </c>
      <c r="G51" s="121"/>
      <c r="H51" s="121"/>
      <c r="I51" s="121"/>
    </row>
    <row r="52" spans="2:9" ht="20" customHeight="1">
      <c r="B52" s="23" t="s">
        <v>380</v>
      </c>
      <c r="C52" s="110" t="s">
        <v>259</v>
      </c>
      <c r="D52" s="110"/>
      <c r="E52" s="122" t="s">
        <v>93</v>
      </c>
      <c r="F52" s="121" t="s">
        <v>381</v>
      </c>
      <c r="G52" s="121"/>
      <c r="H52" s="121"/>
      <c r="I52" s="121"/>
    </row>
    <row r="53" spans="2:9" ht="31.4" customHeight="1">
      <c r="B53" s="23" t="s">
        <v>382</v>
      </c>
      <c r="C53" s="110" t="s">
        <v>271</v>
      </c>
      <c r="D53" s="110"/>
      <c r="E53" s="122" t="s">
        <v>93</v>
      </c>
      <c r="F53" s="121" t="s">
        <v>383</v>
      </c>
      <c r="G53" s="121"/>
      <c r="H53" s="121"/>
      <c r="I53" s="121"/>
    </row>
    <row r="54" spans="2:9" ht="18" customHeight="1">
      <c r="B54" s="168" t="s">
        <v>384</v>
      </c>
      <c r="C54" s="168"/>
      <c r="D54" s="168"/>
      <c r="E54" s="168"/>
      <c r="F54" s="168"/>
      <c r="G54" s="168"/>
      <c r="H54" s="168"/>
      <c r="I54" s="168"/>
    </row>
    <row r="56" spans="2:9" ht="26" customHeight="1">
      <c r="B56" s="106" t="s">
        <v>385</v>
      </c>
      <c r="C56" s="106"/>
      <c r="D56" s="106"/>
      <c r="E56" s="106"/>
      <c r="F56" s="106"/>
      <c r="G56" s="106"/>
      <c r="H56" s="106"/>
      <c r="I56" s="106"/>
    </row>
    <row r="57" spans="2:9" ht="20" customHeight="1">
      <c r="B57" s="75" t="s">
        <v>386</v>
      </c>
      <c r="C57" s="75"/>
      <c r="D57" s="75"/>
      <c r="E57" s="169" t="s">
        <v>387</v>
      </c>
      <c r="F57" s="169"/>
      <c r="G57" s="169"/>
      <c r="H57" s="169"/>
      <c r="I57" s="169"/>
    </row>
    <row r="58" spans="2:9" ht="20" customHeight="1">
      <c r="B58" s="75" t="s">
        <v>388</v>
      </c>
      <c r="C58" s="75"/>
      <c r="D58" s="75"/>
      <c r="E58" s="169" t="s">
        <v>389</v>
      </c>
      <c r="F58" s="169"/>
      <c r="G58" s="169"/>
      <c r="H58" s="169"/>
      <c r="I58" s="169"/>
    </row>
    <row r="59" spans="2:9" ht="20" customHeight="1">
      <c r="B59" s="75" t="s">
        <v>390</v>
      </c>
      <c r="C59" s="75"/>
      <c r="D59" s="75"/>
      <c r="E59" s="169" t="s">
        <v>391</v>
      </c>
      <c r="F59" s="169"/>
      <c r="G59" s="169"/>
      <c r="H59" s="169"/>
      <c r="I59" s="169"/>
    </row>
    <row r="60" spans="2:9" ht="20" customHeight="1">
      <c r="B60" s="75" t="s">
        <v>392</v>
      </c>
      <c r="C60" s="75"/>
      <c r="D60" s="75"/>
      <c r="E60" s="169" t="s">
        <v>393</v>
      </c>
      <c r="F60" s="169"/>
      <c r="G60" s="169"/>
      <c r="H60" s="169"/>
      <c r="I60" s="169"/>
    </row>
    <row r="61" spans="2:9" ht="20" customHeight="1">
      <c r="B61" s="75" t="s">
        <v>394</v>
      </c>
      <c r="C61" s="75"/>
      <c r="D61" s="75"/>
      <c r="E61" s="169" t="s">
        <v>395</v>
      </c>
      <c r="F61" s="169"/>
      <c r="G61" s="169"/>
      <c r="H61" s="169"/>
      <c r="I61" s="169"/>
    </row>
    <row r="62" spans="2:9" ht="20" customHeight="1">
      <c r="B62" s="75" t="s">
        <v>396</v>
      </c>
      <c r="C62" s="75"/>
      <c r="D62" s="75"/>
      <c r="E62" s="169">
        <v>4</v>
      </c>
      <c r="F62" s="169"/>
      <c r="G62" s="169"/>
      <c r="H62" s="169"/>
      <c r="I62" s="169"/>
    </row>
    <row r="63" spans="2:9" ht="20" customHeight="1">
      <c r="B63" s="75" t="s">
        <v>397</v>
      </c>
      <c r="C63" s="75"/>
      <c r="D63" s="75"/>
      <c r="E63" s="169" t="s">
        <v>398</v>
      </c>
      <c r="F63" s="169"/>
      <c r="G63" s="169"/>
      <c r="H63" s="169"/>
      <c r="I63" s="169"/>
    </row>
    <row r="65" spans="2:9" ht="26" customHeight="1">
      <c r="B65" s="106" t="s">
        <v>399</v>
      </c>
      <c r="C65" s="106"/>
      <c r="D65" s="106"/>
      <c r="E65" s="106"/>
      <c r="F65" s="106"/>
      <c r="G65" s="106"/>
      <c r="H65" s="106"/>
      <c r="I65" s="106"/>
    </row>
    <row r="66" spans="2:9" ht="22" customHeight="1">
      <c r="B66" s="11" t="s">
        <v>231</v>
      </c>
      <c r="C66" s="11"/>
      <c r="D66" s="11"/>
      <c r="E66" s="11" t="s">
        <v>400</v>
      </c>
      <c r="F66" s="11" t="s">
        <v>401</v>
      </c>
      <c r="G66" s="11"/>
      <c r="H66" s="11"/>
      <c r="I66" s="11"/>
    </row>
    <row r="67" spans="2:9" ht="20" customHeight="1">
      <c r="B67" s="110" t="s">
        <v>402</v>
      </c>
      <c r="C67" s="110"/>
      <c r="D67" s="110"/>
      <c r="E67" s="24">
        <v>1</v>
      </c>
      <c r="F67" s="121" t="s">
        <v>403</v>
      </c>
      <c r="G67" s="121"/>
      <c r="H67" s="121"/>
      <c r="I67" s="121"/>
    </row>
    <row r="68" spans="2:9" ht="20" customHeight="1">
      <c r="B68" s="110" t="s">
        <v>404</v>
      </c>
      <c r="C68" s="110"/>
      <c r="D68" s="110"/>
      <c r="E68" s="24">
        <v>1</v>
      </c>
      <c r="F68" s="121" t="s">
        <v>405</v>
      </c>
      <c r="G68" s="121"/>
      <c r="H68" s="121"/>
      <c r="I68" s="121"/>
    </row>
    <row r="70" spans="2:9" ht="18" customHeight="1">
      <c r="B70" s="170" t="s">
        <v>3</v>
      </c>
    </row>
  </sheetData>
  <mergeCells count="97">
    <mergeCell ref="A1:I1"/>
    <mergeCell ref="A2:I2"/>
    <mergeCell ref="B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B18:I18"/>
    <mergeCell ref="C19:I19"/>
    <mergeCell ref="C20:I20"/>
    <mergeCell ref="C21:I21"/>
    <mergeCell ref="C22:I22"/>
    <mergeCell ref="C23:I23"/>
    <mergeCell ref="C24:I24"/>
    <mergeCell ref="C25:I25"/>
    <mergeCell ref="C26:I26"/>
    <mergeCell ref="B28:I28"/>
    <mergeCell ref="C29:D29"/>
    <mergeCell ref="F29:I29"/>
    <mergeCell ref="C30:D30"/>
    <mergeCell ref="F30:I30"/>
    <mergeCell ref="C31:D31"/>
    <mergeCell ref="F31:I31"/>
    <mergeCell ref="C32:D32"/>
    <mergeCell ref="F32:I32"/>
    <mergeCell ref="C33:D33"/>
    <mergeCell ref="F33:I33"/>
    <mergeCell ref="C34:D34"/>
    <mergeCell ref="F34:I34"/>
    <mergeCell ref="C35:D35"/>
    <mergeCell ref="F35:I35"/>
    <mergeCell ref="C36:D36"/>
    <mergeCell ref="F36:I36"/>
    <mergeCell ref="C37:D37"/>
    <mergeCell ref="F37:I37"/>
    <mergeCell ref="C38:D38"/>
    <mergeCell ref="F38:I38"/>
    <mergeCell ref="C39:D39"/>
    <mergeCell ref="F39:I39"/>
    <mergeCell ref="C40:D40"/>
    <mergeCell ref="F40:I40"/>
    <mergeCell ref="C41:D41"/>
    <mergeCell ref="F41:I41"/>
    <mergeCell ref="C42:D42"/>
    <mergeCell ref="F42:I42"/>
    <mergeCell ref="C43:D43"/>
    <mergeCell ref="F43:I43"/>
    <mergeCell ref="C44:D44"/>
    <mergeCell ref="F44:I44"/>
    <mergeCell ref="C45:D45"/>
    <mergeCell ref="F45:I45"/>
    <mergeCell ref="C46:D46"/>
    <mergeCell ref="F46:I46"/>
    <mergeCell ref="C47:D47"/>
    <mergeCell ref="F47:I47"/>
    <mergeCell ref="C48:D48"/>
    <mergeCell ref="F48:I48"/>
    <mergeCell ref="C49:D49"/>
    <mergeCell ref="F49:I49"/>
    <mergeCell ref="C50:D50"/>
    <mergeCell ref="F50:I50"/>
    <mergeCell ref="C51:D51"/>
    <mergeCell ref="F51:I51"/>
    <mergeCell ref="C52:D52"/>
    <mergeCell ref="F52:I52"/>
    <mergeCell ref="C53:D53"/>
    <mergeCell ref="F53:I53"/>
    <mergeCell ref="B54:I54"/>
    <mergeCell ref="B56:I56"/>
    <mergeCell ref="B57:D57"/>
    <mergeCell ref="E57:I57"/>
    <mergeCell ref="B58:D58"/>
    <mergeCell ref="E58:I58"/>
    <mergeCell ref="B59:D59"/>
    <mergeCell ref="E59:I59"/>
    <mergeCell ref="B60:D60"/>
    <mergeCell ref="E60:I60"/>
    <mergeCell ref="B61:D61"/>
    <mergeCell ref="E61:I61"/>
    <mergeCell ref="B62:D62"/>
    <mergeCell ref="E62:I62"/>
    <mergeCell ref="B63:D63"/>
    <mergeCell ref="E63:I63"/>
    <mergeCell ref="B65:I65"/>
    <mergeCell ref="B66:D66"/>
    <mergeCell ref="F66:I66"/>
    <mergeCell ref="B67:D67"/>
    <mergeCell ref="F67:I67"/>
    <mergeCell ref="B68:D68"/>
    <mergeCell ref="F68:I68"/>
  </mergeCells>
  <hyperlinks>
    <hyperlink ref="B70" location="'Riepilogo'!A1" display="‹ Torna al Riepilogo"/>
  </hyperlinks>
  <printOptions horizontalCentered="1"/>
  <pageMargins left="0.35" right="0.35" top="0.6" bottom="0.6" header="0.25" footer="0.25"/>
  <pageSetup paperSize="9" fitToHeight="0" orientation="landscape"/>
  <headerFooter>
    <oddHeader>&amp;L&amp;"Calibri,Regular"&amp;8&amp;K6B7280Sirio OCR · Rendicontazione Assistenza Specialistica&amp;R&amp;"Calibri,Regular"&amp;8&amp;K6B7280&amp;A</oddHeader>
    <oddFooter>&amp;L&amp;"Calibri,Regular"&amp;8&amp;K6B7280Generato il 10/10/2026 alle 17:01&amp;R&amp;"Calibri,Regular"&amp;8&amp;K6B7280Pagina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Riepilogo</vt:lpstr>
      <vt:lpstr>Dettaglio giornaliero</vt:lpstr>
      <vt:lpstr>DE LUCA G. 03-2026</vt:lpstr>
      <vt:lpstr>ESPOSITO A. 02-2026</vt:lpstr>
      <vt:lpstr>ROSSI M. 02-2026</vt:lpstr>
      <vt:lpstr>ROSSI M. 03-2026</vt:lpstr>
      <vt:lpstr>Anomalie</vt:lpstr>
      <vt:lpstr>Totali per operatore</vt:lpstr>
      <vt:lpstr>Legenda e note</vt:lpstr>
      <vt:lpstr>Anomalie!Print_Titles</vt:lpstr>
      <vt:lpstr>'DE LUCA G. 03-2026'!Print_Titles</vt:lpstr>
      <vt:lpstr>'Dettaglio giornaliero'!Print_Titles</vt:lpstr>
      <vt:lpstr>'ESPOSITO A. 02-2026'!Print_Titles</vt:lpstr>
      <vt:lpstr>Riepilogo!Print_Titles</vt:lpstr>
      <vt:lpstr>'ROSSI M. 02-2026'!Print_Titles</vt:lpstr>
      <vt:lpstr>'ROSSI M. 03-2026'!Print_Titles</vt:lpstr>
    </vt:vector>
  </TitlesOfParts>
  <Company>COOPERATIVA SOCIALE SIRIO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Rendicontazione Assistenza Specialistica – Febbraio – Marzo 2026</dc:title>
  <dc:subject>Assistenza Specialistica all'integrazione scolastica – Comune di Napoli</dc:subject>
  <dc:creator>Sirio OCR</dc:creator>
  <cp:keywords>fogli firma, rendicontazione, assistenza specialistica</cp:keywords>
  <dc:description>Generato da Sirio OCR 1.0.0 il 10/10/2026 17:01</dc:description>
  <cp:lastModifiedBy>Sirio OCR</cp:lastModifiedBy>
  <dcterms:created xsi:type="dcterms:W3CDTF">2026-10-10T17:01:06Z</dcterms:created>
  <dcterms:modified xsi:type="dcterms:W3CDTF">2026-10-10T17:01:06Z</dcterms:modified>
</cp:coreProperties>
</file>